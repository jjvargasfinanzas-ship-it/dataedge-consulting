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vmlDrawing2.vml" ContentType="application/vnd.openxmlformats-officedocument.vmlDrawing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Supuestos" sheetId="2" state="visible" r:id="rId4"/>
    <sheet name="Cierre 2026" sheetId="3" state="visible" r:id="rId5"/>
    <sheet name="Presupuesto 2027" sheetId="4" state="visible" r:id="rId6"/>
    <sheet name="Resumen" sheetId="5" state="visible" r:id="rId7"/>
  </sheets>
  <definedNames>
    <definedName function="false" hidden="false" name="Crec_Ventas" vbProcedure="false">Supuestos!$C$11</definedName>
    <definedName function="false" hidden="false" name="Empresa" vbProcedure="false">Supuestos!$C$9</definedName>
    <definedName function="false" hidden="false" name="Incr_Salarial" vbProcedure="false">Supuestos!$C$13</definedName>
    <definedName function="false" hidden="false" name="Inflacion" vbProcedure="false">Supuestos!$C$12</definedName>
    <definedName function="false" hidden="false" name="Moneda" vbProcedure="false">Supuestos!$C$10</definedName>
    <definedName function="false" hidden="false" name="Tasa_Renta" vbProcedure="false">Supuestos!$C$14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10"/>
            <rFont val="Arial"/>
            <family val="2"/>
          </rPr>
          <t xml:space="preserve">Estimación mensual: utilidad antes de impuestos × tarifa de renta (hoja Supuestos). No incluye beneficios, descuentos ni rentas exentas.</t>
        </r>
      </text>
    </comment>
    <comment ref="K8" authorId="0">
      <text>
        <r>
          <rPr>
            <sz val="10"/>
            <rFont val="Arial"/>
            <family val="2"/>
          </rPr>
          <t xml:space="preserve">Oct–Dic = promedio de Jul–Sep × (1 + Ajuste Oct-Dic).</t>
        </r>
      </text>
    </comment>
    <comment ref="O8" authorId="0">
      <text>
        <r>
          <rPr>
            <sz val="10"/>
            <rFont val="Arial"/>
            <family val="2"/>
          </rPr>
          <t xml:space="preserve">Ajuste sobre el promedio Jul–Sep para proyectar Oct–Dic. 0% = mismo promedio. Ej.: 10% si esperas un cierre de año más fuerte.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% aplicado al mismo mes de 2026. Viene de Supuestos (texto verde); puedes escribir otro valor en cualquier línea.</t>
        </r>
      </text>
    </comment>
    <comment ref="B13" authorId="0">
      <text>
        <r>
          <rPr>
            <sz val="10"/>
            <rFont val="Arial"/>
            <family val="2"/>
          </rPr>
          <t xml:space="preserve">Costo de ventas como % de las ventas: se mantiene el porcentaje del cierre 2026.</t>
        </r>
      </text>
    </comment>
    <comment ref="Q15" authorId="0">
      <text>
        <r>
          <rPr>
            <sz val="10"/>
            <rFont val="Arial"/>
            <family val="2"/>
          </rPr>
          <t xml:space="preserve">Diferencia en puntos porcentuales.</t>
        </r>
      </text>
    </comment>
    <comment ref="Q31" authorId="0">
      <text>
        <r>
          <rPr>
            <sz val="10"/>
            <rFont val="Arial"/>
            <family val="2"/>
          </rPr>
          <t xml:space="preserve">Diferencia en puntos porcentuales.</t>
        </r>
      </text>
    </comment>
  </commentList>
</comments>
</file>

<file path=xl/sharedStrings.xml><?xml version="1.0" encoding="utf-8"?>
<sst xmlns="http://schemas.openxmlformats.org/spreadsheetml/2006/main" count="156" uniqueCount="121">
  <si>
    <t xml:space="preserve">Presupuesto 2027 + Proyección de cierre 2026</t>
  </si>
  <si>
    <t xml:space="preserve">Plantilla gratuita de Data Edge · Estado de resultados mensual</t>
  </si>
  <si>
    <t xml:space="preserve">Cómo usar esta plantilla</t>
  </si>
  <si>
    <t xml:space="preserve">1. Supuestos</t>
  </si>
  <si>
    <t xml:space="preserve">Escribe el nombre de tu empresa y ajusta los porcentajes de crecimiento, inflación, incremento salarial e impuesto.</t>
  </si>
  <si>
    <t xml:space="preserve">2. Cierre 2026</t>
  </si>
  <si>
    <t xml:space="preserve">Reemplaza los datos de ejemplo de enero a septiembre por las cifras reales de tu empresa. Octubre a diciembre se proyectan solos con el promedio de julio a septiembre.</t>
  </si>
  <si>
    <t xml:space="preserve">3. Ajuste de proyección</t>
  </si>
  <si>
    <t xml:space="preserve">Si esperas un último trimestre más fuerte o más débil, cambia la columna 'Ajuste Oct-Dic' de cada línea (ej. 10% o -5%).</t>
  </si>
  <si>
    <t xml:space="preserve">4. Presupuesto 2027</t>
  </si>
  <si>
    <t xml:space="preserve">Se calcula automáticamente mes a mes, respetando la estacionalidad de 2026. Puedes cambiar el % de cada línea en la columna 'Incremento %'.</t>
  </si>
  <si>
    <t xml:space="preserve">5. Resumen</t>
  </si>
  <si>
    <t xml:space="preserve">Compara cierre 2026 vs. presupuesto 2027 y revisa márgenes y variaciones.</t>
  </si>
  <si>
    <t xml:space="preserve">Convención de colores</t>
  </si>
  <si>
    <t xml:space="preserve">1.250.000</t>
  </si>
  <si>
    <t xml:space="preserve">Celda para diligenciar (texto azul, fondo amarillo claro).</t>
  </si>
  <si>
    <t xml:space="preserve">Fórmula: no la modifiques.</t>
  </si>
  <si>
    <t xml:space="preserve">8,0%</t>
  </si>
  <si>
    <t xml:space="preserve">Toma el valor de la hoja Supuestos: puedes sobrescribirlo si lo necesitas.</t>
  </si>
  <si>
    <t xml:space="preserve">Los datos que trae la plantilla son de ejemplo: reemplázalos por los de tu empresa.</t>
  </si>
  <si>
    <t xml:space="preserve">¿Necesitas un modelo a la medida?</t>
  </si>
  <si>
    <t xml:space="preserve">Diseñamos presupuestos y modelos financieros personalizados para tu empresa, con confidencialidad de tu información.</t>
  </si>
  <si>
    <t xml:space="preserve">Escríbenos: info@DataEdgeConsulting.onmicrosoft.com · dataedge-consulting.vercel.app</t>
  </si>
  <si>
    <t xml:space="preserve">Herramienta de apoyo para planeación financiera. No reemplaza la asesoría contable o tributaria de tu empresa.</t>
  </si>
  <si>
    <t xml:space="preserve">© 2026 Data Edge. Uso permitido dentro de tu empresa; prohibida su reventa o redistribución.</t>
  </si>
  <si>
    <t xml:space="preserve">Supuestos</t>
  </si>
  <si>
    <t xml:space="preserve">Ajusta estos valores: alimentan el presupuesto 2027</t>
  </si>
  <si>
    <t xml:space="preserve">Supuesto</t>
  </si>
  <si>
    <t xml:space="preserve">Valor</t>
  </si>
  <si>
    <t xml:space="preserve">Nota</t>
  </si>
  <si>
    <t xml:space="preserve">Nombre de la empresa</t>
  </si>
  <si>
    <t xml:space="preserve">Mi Empresa S.A.S.</t>
  </si>
  <si>
    <t xml:space="preserve">Aparece en el encabezado de las hojas.</t>
  </si>
  <si>
    <t xml:space="preserve">Moneda</t>
  </si>
  <si>
    <t xml:space="preserve">COP</t>
  </si>
  <si>
    <t xml:space="preserve">Moneda en la que registras las cifras.</t>
  </si>
  <si>
    <t xml:space="preserve">Crecimiento esperado de ventas 2027</t>
  </si>
  <si>
    <t xml:space="preserve">Valor de ejemplo. Defínelo con tu plan comercial.</t>
  </si>
  <si>
    <t xml:space="preserve">Inflación esperada (gastos generales)</t>
  </si>
  <si>
    <t xml:space="preserve">Valor de ejemplo. Ajústalo según tus proyecciones o las del mercado.</t>
  </si>
  <si>
    <t xml:space="preserve">Incremento salarial 2027</t>
  </si>
  <si>
    <t xml:space="preserve">Valor de ejemplo. Ajústalo cuando se conozca el incremento del salario mínimo.</t>
  </si>
  <si>
    <t xml:space="preserve">Tarifa de impuesto de renta</t>
  </si>
  <si>
    <t xml:space="preserve">Tarifa general personas jurídicas en Colombia (art. 240 E.T.). Verifica la que aplica a tu empresa.</t>
  </si>
  <si>
    <t xml:space="preserve">Proyección de cierre 2026</t>
  </si>
  <si>
    <t xml:space="preserve">REAL 2026</t>
  </si>
  <si>
    <t xml:space="preserve">PROYECTADO</t>
  </si>
  <si>
    <t xml:space="preserve">Concepto</t>
  </si>
  <si>
    <t xml:space="preserve">Ene-26</t>
  </si>
  <si>
    <t xml:space="preserve">Feb-26</t>
  </si>
  <si>
    <t xml:space="preserve">Mar-26</t>
  </si>
  <si>
    <t xml:space="preserve">Abr-26</t>
  </si>
  <si>
    <t xml:space="preserve">May-26</t>
  </si>
  <si>
    <t xml:space="preserve">Jun-26</t>
  </si>
  <si>
    <t xml:space="preserve">Jul-26</t>
  </si>
  <si>
    <t xml:space="preserve">Ago-26</t>
  </si>
  <si>
    <t xml:space="preserve">Sep-26</t>
  </si>
  <si>
    <t xml:space="preserve">Oct-26</t>
  </si>
  <si>
    <t xml:space="preserve">Nov-26</t>
  </si>
  <si>
    <t xml:space="preserve">Dic-26</t>
  </si>
  <si>
    <t xml:space="preserve">Total 2026</t>
  </si>
  <si>
    <t xml:space="preserve">Ajuste Oct-Dic</t>
  </si>
  <si>
    <t xml:space="preserve">INGRESOS</t>
  </si>
  <si>
    <t xml:space="preserve">Ventas / ingresos operacionales</t>
  </si>
  <si>
    <t xml:space="preserve">Otros ingresos</t>
  </si>
  <si>
    <t xml:space="preserve">Total ingresos</t>
  </si>
  <si>
    <t xml:space="preserve">Costo de ventas</t>
  </si>
  <si>
    <t xml:space="preserve">Utilidad bruta</t>
  </si>
  <si>
    <t xml:space="preserve">Margen bruto %</t>
  </si>
  <si>
    <t xml:space="preserve">GASTOS OPERACIONALES</t>
  </si>
  <si>
    <t xml:space="preserve">Nómina y prestaciones</t>
  </si>
  <si>
    <t xml:space="preserve">Arriendos</t>
  </si>
  <si>
    <t xml:space="preserve">Servicios públicos</t>
  </si>
  <si>
    <t xml:space="preserve">Honorarios</t>
  </si>
  <si>
    <t xml:space="preserve">Mercadeo y publicidad</t>
  </si>
  <si>
    <t xml:space="preserve">Tecnología y software</t>
  </si>
  <si>
    <t xml:space="preserve">Depreciaciones y amortizaciones</t>
  </si>
  <si>
    <t xml:space="preserve">Otros gastos operacionales</t>
  </si>
  <si>
    <t xml:space="preserve">Total gastos operacionales</t>
  </si>
  <si>
    <t xml:space="preserve">Utilidad operacional</t>
  </si>
  <si>
    <t xml:space="preserve">Gastos financieros</t>
  </si>
  <si>
    <t xml:space="preserve">Utilidad antes de impuestos</t>
  </si>
  <si>
    <t xml:space="preserve">Impuesto de renta estimado</t>
  </si>
  <si>
    <t xml:space="preserve">Utilidad neta</t>
  </si>
  <si>
    <t xml:space="preserve">Margen neto %</t>
  </si>
  <si>
    <t xml:space="preserve">Presupuesto 2027</t>
  </si>
  <si>
    <t xml:space="preserve">Incremento %</t>
  </si>
  <si>
    <t xml:space="preserve">Ene-27</t>
  </si>
  <si>
    <t xml:space="preserve">Feb-27</t>
  </si>
  <si>
    <t xml:space="preserve">Mar-27</t>
  </si>
  <si>
    <t xml:space="preserve">Abr-27</t>
  </si>
  <si>
    <t xml:space="preserve">May-27</t>
  </si>
  <si>
    <t xml:space="preserve">Jun-27</t>
  </si>
  <si>
    <t xml:space="preserve">Jul-27</t>
  </si>
  <si>
    <t xml:space="preserve">Ago-27</t>
  </si>
  <si>
    <t xml:space="preserve">Sep-27</t>
  </si>
  <si>
    <t xml:space="preserve">Oct-27</t>
  </si>
  <si>
    <t xml:space="preserve">Nov-27</t>
  </si>
  <si>
    <t xml:space="preserve">Dic-27</t>
  </si>
  <si>
    <t xml:space="preserve">Total 2027</t>
  </si>
  <si>
    <t xml:space="preserve">Cierre 2026</t>
  </si>
  <si>
    <t xml:space="preserve">Var. %</t>
  </si>
  <si>
    <t xml:space="preserve">Resumen: cierre 2026 vs. presupuesto 2027</t>
  </si>
  <si>
    <t xml:space="preserve">Variación</t>
  </si>
  <si>
    <t xml:space="preserve">Variación de márgenes: diferencia en puntos porcentuales.</t>
  </si>
  <si>
    <t xml:space="preserve">Ingresos mensuales</t>
  </si>
  <si>
    <t xml:space="preserve">Mes</t>
  </si>
  <si>
    <t xml:space="preserve">2026</t>
  </si>
  <si>
    <t xml:space="preserve">2027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</si>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</sst>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#,##0;\(#,##0\);\-"/>
    <numFmt numFmtId="167" formatCode="0.0%;\-0.0%;0.0%"/>
    <numFmt numFmtId="168" formatCode="#,##0,,\M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2B44"/>
      <name val="Arial"/>
      <family val="0"/>
      <charset val="1"/>
    </font>
    <font>
      <sz val="10"/>
      <color rgb="FF6B7F9E"/>
      <name val="Arial"/>
      <family val="0"/>
      <charset val="1"/>
    </font>
    <font>
      <b val="true"/>
      <sz val="10"/>
      <color rgb="FF1C2B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6B7F9E"/>
      <name val="Arial"/>
      <family val="0"/>
      <charset val="1"/>
    </font>
    <font>
      <b val="true"/>
      <sz val="10"/>
      <color rgb="FF4A8DE8"/>
      <name val="Arial"/>
      <family val="0"/>
      <charset val="1"/>
    </font>
    <font>
      <i val="true"/>
      <sz val="8"/>
      <color rgb="FF8FA8CC"/>
      <name val="Arial"/>
      <family val="0"/>
      <charset val="1"/>
    </font>
    <font>
      <sz val="8"/>
      <color rgb="FF8FA8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A8DE8"/>
      <name val="Arial"/>
      <family val="0"/>
      <charset val="1"/>
    </font>
    <font>
      <b val="true"/>
      <sz val="9"/>
      <color rgb="FFB07F1F"/>
      <name val="Arial"/>
      <family val="0"/>
      <charset val="1"/>
    </font>
    <font>
      <i val="true"/>
      <sz val="9"/>
      <color rgb="FF6B7F9E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C2B44"/>
        <bgColor rgb="FF243356"/>
      </patternFill>
    </fill>
    <fill>
      <patternFill patternType="solid">
        <fgColor rgb="FFD4A84E"/>
        <bgColor rgb="FFB07F1F"/>
      </patternFill>
    </fill>
    <fill>
      <patternFill patternType="solid">
        <fgColor rgb="FFFFF6D6"/>
        <bgColor rgb="FFF0F4FB"/>
      </patternFill>
    </fill>
    <fill>
      <patternFill patternType="solid">
        <fgColor rgb="FF243356"/>
        <bgColor rgb="FF1C2B44"/>
      </patternFill>
    </fill>
    <fill>
      <patternFill patternType="solid">
        <fgColor rgb="FF5A4A1F"/>
        <bgColor rgb="FF243356"/>
      </patternFill>
    </fill>
    <fill>
      <patternFill patternType="solid">
        <fgColor rgb="FFE8EEF8"/>
        <bgColor rgb="FFF0F4FB"/>
      </patternFill>
    </fill>
    <fill>
      <patternFill patternType="solid">
        <fgColor rgb="FFF0F4FB"/>
        <bgColor rgb="FFE8EEF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5F0"/>
      </bottom>
      <diagonal/>
    </border>
    <border diagonalUp="false" diagonalDown="false">
      <left/>
      <right/>
      <top style="thin">
        <color rgb="FF1C2B44"/>
      </top>
      <bottom style="double">
        <color rgb="FF1C2B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F1F"/>
      <rgbColor rgb="FF800080"/>
      <rgbColor rgb="FF008080"/>
      <rgbColor rgb="FFC0C0C0"/>
      <rgbColor rgb="FF878787"/>
      <rgbColor rgb="FF8FA8CC"/>
      <rgbColor rgb="FF993366"/>
      <rgbColor rgb="FFFFF6D6"/>
      <rgbColor rgb="FFE8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B"/>
      <rgbColor rgb="FFDDE5F0"/>
      <rgbColor rgb="FFFFFF99"/>
      <rgbColor rgb="FF82B8F8"/>
      <rgbColor rgb="FFFF99CC"/>
      <rgbColor rgb="FFCC99FF"/>
      <rgbColor rgb="FFFFCC99"/>
      <rgbColor rgb="FF4A8DE8"/>
      <rgbColor rgb="FF33CCCC"/>
      <rgbColor rgb="FF99CC00"/>
      <rgbColor rgb="FFFFCC00"/>
      <rgbColor rgb="FFD4A84E"/>
      <rgbColor rgb="FFFF6600"/>
      <rgbColor rgb="FF6B7F9E"/>
      <rgbColor rgb="FF969696"/>
      <rgbColor rgb="FF1C2B44"/>
      <rgbColor rgb="FF339966"/>
      <rgbColor rgb="FF003300"/>
      <rgbColor rgb="FF5A4A1F"/>
      <rgbColor rgb="FF993300"/>
      <rgbColor rgb="FF993366"/>
      <rgbColor rgb="FF333399"/>
      <rgbColor rgb="FF2433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totales por mes: 2026 vs. 2027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Resumen!B21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82b8f8"/>
            </a:solidFill>
            <a:ln w="0">
              <a:solidFill>
                <a:srgbClr val="82b8f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Resumen!$A$22:$A$33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Resumen!$B$22:$B$33</c:f>
              <c:numCache>
                <c:formatCode>#,##0;\(#,##0\);\-</c:formatCode>
                <c:ptCount val="12"/>
                <c:pt idx="0">
                  <c:v>81200000</c:v>
                </c:pt>
                <c:pt idx="1">
                  <c:v>83100000</c:v>
                </c:pt>
                <c:pt idx="2">
                  <c:v>79300000</c:v>
                </c:pt>
                <c:pt idx="3">
                  <c:v>86200000</c:v>
                </c:pt>
                <c:pt idx="4">
                  <c:v>89000000</c:v>
                </c:pt>
                <c:pt idx="5">
                  <c:v>91400000</c:v>
                </c:pt>
                <c:pt idx="6">
                  <c:v>88200000</c:v>
                </c:pt>
                <c:pt idx="7">
                  <c:v>93100000</c:v>
                </c:pt>
                <c:pt idx="8">
                  <c:v>96300000</c:v>
                </c:pt>
                <c:pt idx="9">
                  <c:v>92533333.3333333</c:v>
                </c:pt>
                <c:pt idx="10">
                  <c:v>92533333.3333333</c:v>
                </c:pt>
                <c:pt idx="11">
                  <c:v>92533333.3333333</c:v>
                </c:pt>
              </c:numCache>
            </c:numRef>
          </c:val>
        </c:ser>
        <c:ser>
          <c:idx val="1"/>
          <c:order val="1"/>
          <c:tx>
            <c:strRef>
              <c:f>Resumen!C21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rgbClr val="1c2b44"/>
            </a:solidFill>
            <a:ln w="0">
              <a:solidFill>
                <a:srgbClr val="1c2b4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Resumen!$A$22:$A$33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Resumen!$C$22:$C$33</c:f>
              <c:numCache>
                <c:formatCode>#,##0;\(#,##0\);\-</c:formatCode>
                <c:ptCount val="12"/>
                <c:pt idx="0">
                  <c:v>87654000</c:v>
                </c:pt>
                <c:pt idx="1">
                  <c:v>89709500</c:v>
                </c:pt>
                <c:pt idx="2">
                  <c:v>85598500</c:v>
                </c:pt>
                <c:pt idx="3">
                  <c:v>93054000</c:v>
                </c:pt>
                <c:pt idx="4">
                  <c:v>96085000</c:v>
                </c:pt>
                <c:pt idx="5">
                  <c:v>98663000</c:v>
                </c:pt>
                <c:pt idx="6">
                  <c:v>95214000</c:v>
                </c:pt>
                <c:pt idx="7">
                  <c:v>100509500</c:v>
                </c:pt>
                <c:pt idx="8">
                  <c:v>103958500</c:v>
                </c:pt>
                <c:pt idx="9">
                  <c:v>99894000</c:v>
                </c:pt>
                <c:pt idx="10">
                  <c:v>99894000</c:v>
                </c:pt>
                <c:pt idx="11">
                  <c:v>99894000</c:v>
                </c:pt>
              </c:numCache>
            </c:numRef>
          </c:val>
        </c:ser>
        <c:gapWidth val="150"/>
        <c:overlap val="0"/>
        <c:axId val="25741707"/>
        <c:axId val="13830850"/>
      </c:barChart>
      <c:catAx>
        <c:axId val="257417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30850"/>
        <c:crosses val="autoZero"/>
        <c:auto val="1"/>
        <c:lblAlgn val="ctr"/>
        <c:lblOffset val="100"/>
        <c:noMultiLvlLbl val="0"/>
      </c:catAx>
      <c:valAx>
        <c:axId val="13830850"/>
        <c:scaling>
          <c:orientation val="minMax"/>
        </c:scaling>
        <c:delete val="0"/>
        <c:axPos val="l"/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417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1689480</xdr:colOff>
      <xdr:row>2</xdr:row>
      <xdr:rowOff>75600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971360" cy="62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1689480</xdr:colOff>
      <xdr:row>2</xdr:row>
      <xdr:rowOff>75600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971360" cy="62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1971360</xdr:colOff>
      <xdr:row>2</xdr:row>
      <xdr:rowOff>75600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1971360" cy="62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1971360</xdr:colOff>
      <xdr:row>2</xdr:row>
      <xdr:rowOff>75600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1971360" cy="62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15</xdr:col>
      <xdr:colOff>364320</xdr:colOff>
      <xdr:row>22</xdr:row>
      <xdr:rowOff>21960</xdr:rowOff>
    </xdr:to>
    <xdr:graphicFrame>
      <xdr:nvGraphicFramePr>
        <xdr:cNvPr id="4" name="Chart 1"/>
        <xdr:cNvGraphicFramePr/>
      </xdr:nvGraphicFramePr>
      <xdr:xfrm>
        <a:off x="6814080" y="1581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1971360</xdr:colOff>
      <xdr:row>2</xdr:row>
      <xdr:rowOff>75600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0" y="0"/>
          <a:ext cx="1971360" cy="628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2B44"/>
    <pageSetUpPr fitToPage="true"/>
  </sheetPr>
  <dimension ref="A1:J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10" min="3" style="0" width="12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3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25.5" hidden="false" customHeight="true" outlineLevel="0" collapsed="false">
      <c r="A5" s="3" t="s">
        <v>0</v>
      </c>
    </row>
    <row r="6" customFormat="false" ht="15" hidden="false" customHeight="false" outlineLevel="0" collapsed="false">
      <c r="A6" s="4" t="s">
        <v>1</v>
      </c>
    </row>
    <row r="8" customFormat="false" ht="15" hidden="false" customHeight="false" outlineLevel="0" collapsed="false">
      <c r="B8" s="5" t="s">
        <v>2</v>
      </c>
    </row>
    <row r="9" customFormat="false" ht="30" hidden="false" customHeight="true" outlineLevel="0" collapsed="false">
      <c r="B9" s="6" t="s">
        <v>3</v>
      </c>
      <c r="C9" s="7" t="s">
        <v>4</v>
      </c>
      <c r="D9" s="7"/>
      <c r="E9" s="7"/>
      <c r="F9" s="7"/>
      <c r="G9" s="7"/>
      <c r="H9" s="7"/>
      <c r="I9" s="7"/>
      <c r="J9" s="7"/>
    </row>
    <row r="10" customFormat="false" ht="30" hidden="false" customHeight="true" outlineLevel="0" collapsed="false">
      <c r="B10" s="6" t="s">
        <v>5</v>
      </c>
      <c r="C10" s="7" t="s">
        <v>6</v>
      </c>
      <c r="D10" s="7"/>
      <c r="E10" s="7"/>
      <c r="F10" s="7"/>
      <c r="G10" s="7"/>
      <c r="H10" s="7"/>
      <c r="I10" s="7"/>
      <c r="J10" s="7"/>
    </row>
    <row r="11" customFormat="false" ht="30" hidden="false" customHeight="true" outlineLevel="0" collapsed="false">
      <c r="B11" s="6" t="s">
        <v>7</v>
      </c>
      <c r="C11" s="7" t="s">
        <v>8</v>
      </c>
      <c r="D11" s="7"/>
      <c r="E11" s="7"/>
      <c r="F11" s="7"/>
      <c r="G11" s="7"/>
      <c r="H11" s="7"/>
      <c r="I11" s="7"/>
      <c r="J11" s="7"/>
    </row>
    <row r="12" customFormat="false" ht="30" hidden="false" customHeight="true" outlineLevel="0" collapsed="false">
      <c r="B12" s="6" t="s">
        <v>9</v>
      </c>
      <c r="C12" s="7" t="s">
        <v>10</v>
      </c>
      <c r="D12" s="7"/>
      <c r="E12" s="7"/>
      <c r="F12" s="7"/>
      <c r="G12" s="7"/>
      <c r="H12" s="7"/>
      <c r="I12" s="7"/>
      <c r="J12" s="7"/>
    </row>
    <row r="13" customFormat="false" ht="30" hidden="false" customHeight="true" outlineLevel="0" collapsed="false">
      <c r="B13" s="6" t="s">
        <v>11</v>
      </c>
      <c r="C13" s="7" t="s">
        <v>12</v>
      </c>
      <c r="D13" s="7"/>
      <c r="E13" s="7"/>
      <c r="F13" s="7"/>
      <c r="G13" s="7"/>
      <c r="H13" s="7"/>
      <c r="I13" s="7"/>
      <c r="J13" s="7"/>
    </row>
    <row r="15" customFormat="false" ht="15" hidden="false" customHeight="false" outlineLevel="0" collapsed="false">
      <c r="B15" s="5" t="s">
        <v>13</v>
      </c>
    </row>
    <row r="16" customFormat="false" ht="15" hidden="false" customHeight="false" outlineLevel="0" collapsed="false">
      <c r="B16" s="8" t="s">
        <v>14</v>
      </c>
      <c r="C16" s="9" t="s">
        <v>15</v>
      </c>
    </row>
    <row r="17" customFormat="false" ht="15" hidden="false" customHeight="false" outlineLevel="0" collapsed="false">
      <c r="B17" s="10" t="s">
        <v>14</v>
      </c>
      <c r="C17" s="9" t="s">
        <v>16</v>
      </c>
    </row>
    <row r="18" customFormat="false" ht="15" hidden="false" customHeight="false" outlineLevel="0" collapsed="false">
      <c r="B18" s="11" t="s">
        <v>17</v>
      </c>
      <c r="C18" s="9" t="s">
        <v>18</v>
      </c>
    </row>
    <row r="20" customFormat="false" ht="15" hidden="false" customHeight="false" outlineLevel="0" collapsed="false">
      <c r="B20" s="12" t="s">
        <v>19</v>
      </c>
    </row>
    <row r="22" customFormat="false" ht="15" hidden="false" customHeight="false" outlineLevel="0" collapsed="false">
      <c r="B22" s="5" t="s">
        <v>20</v>
      </c>
    </row>
    <row r="23" customFormat="false" ht="15" hidden="false" customHeight="false" outlineLevel="0" collapsed="false">
      <c r="B23" s="9" t="s">
        <v>21</v>
      </c>
    </row>
    <row r="24" customFormat="false" ht="15" hidden="false" customHeight="false" outlineLevel="0" collapsed="false">
      <c r="B24" s="13" t="s">
        <v>22</v>
      </c>
    </row>
    <row r="26" customFormat="false" ht="15" hidden="false" customHeight="false" outlineLevel="0" collapsed="false">
      <c r="B26" s="14" t="s">
        <v>23</v>
      </c>
    </row>
    <row r="27" customFormat="false" ht="15" hidden="false" customHeight="false" outlineLevel="0" collapsed="false">
      <c r="B27" s="15" t="s">
        <v>24</v>
      </c>
    </row>
  </sheetData>
  <mergeCells count="5">
    <mergeCell ref="C9:J9"/>
    <mergeCell ref="C10:J10"/>
    <mergeCell ref="C11:J11"/>
    <mergeCell ref="C12:J12"/>
    <mergeCell ref="C13:J13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&amp;LData Edge · Plantilla gratuita&amp;RPágina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84E"/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21.75" hidden="false" customHeight="true" outlineLevel="0" collapsed="false">
      <c r="A1" s="1"/>
      <c r="B1" s="1"/>
      <c r="C1" s="1"/>
      <c r="D1" s="1"/>
      <c r="E1" s="1"/>
    </row>
    <row r="2" customFormat="false" ht="21.75" hidden="false" customHeight="true" outlineLevel="0" collapsed="false">
      <c r="A2" s="1"/>
      <c r="B2" s="1"/>
      <c r="C2" s="1"/>
      <c r="D2" s="1"/>
      <c r="E2" s="1"/>
    </row>
    <row r="3" customFormat="false" ht="21.75" hidden="false" customHeight="true" outlineLevel="0" collapsed="false">
      <c r="A3" s="1"/>
      <c r="B3" s="1"/>
      <c r="C3" s="1"/>
      <c r="D3" s="1"/>
      <c r="E3" s="1"/>
    </row>
    <row r="4" customFormat="false" ht="3.75" hidden="false" customHeight="true" outlineLevel="0" collapsed="false">
      <c r="A4" s="2"/>
      <c r="B4" s="2"/>
      <c r="C4" s="2"/>
      <c r="D4" s="2"/>
      <c r="E4" s="2"/>
    </row>
    <row r="5" customFormat="false" ht="25.5" hidden="false" customHeight="true" outlineLevel="0" collapsed="false">
      <c r="A5" s="3" t="s">
        <v>25</v>
      </c>
    </row>
    <row r="6" customFormat="false" ht="15" hidden="false" customHeight="false" outlineLevel="0" collapsed="false">
      <c r="A6" s="4" t="s">
        <v>26</v>
      </c>
    </row>
    <row r="8" customFormat="false" ht="15" hidden="false" customHeight="false" outlineLevel="0" collapsed="false">
      <c r="B8" s="16" t="s">
        <v>27</v>
      </c>
      <c r="C8" s="16" t="s">
        <v>28</v>
      </c>
      <c r="D8" s="16" t="s">
        <v>29</v>
      </c>
    </row>
    <row r="9" customFormat="false" ht="15" hidden="false" customHeight="false" outlineLevel="0" collapsed="false">
      <c r="B9" s="17" t="s">
        <v>30</v>
      </c>
      <c r="C9" s="18" t="s">
        <v>31</v>
      </c>
      <c r="D9" s="19" t="s">
        <v>32</v>
      </c>
    </row>
    <row r="10" customFormat="false" ht="15" hidden="false" customHeight="false" outlineLevel="0" collapsed="false">
      <c r="B10" s="17" t="s">
        <v>33</v>
      </c>
      <c r="C10" s="18" t="s">
        <v>34</v>
      </c>
      <c r="D10" s="19" t="s">
        <v>35</v>
      </c>
    </row>
    <row r="11" customFormat="false" ht="15" hidden="false" customHeight="false" outlineLevel="0" collapsed="false">
      <c r="B11" s="17" t="s">
        <v>36</v>
      </c>
      <c r="C11" s="20" t="n">
        <v>0.08</v>
      </c>
      <c r="D11" s="19" t="s">
        <v>37</v>
      </c>
    </row>
    <row r="12" customFormat="false" ht="15" hidden="false" customHeight="false" outlineLevel="0" collapsed="false">
      <c r="B12" s="17" t="s">
        <v>38</v>
      </c>
      <c r="C12" s="20" t="n">
        <v>0.045</v>
      </c>
      <c r="D12" s="19" t="s">
        <v>39</v>
      </c>
    </row>
    <row r="13" customFormat="false" ht="15" hidden="false" customHeight="false" outlineLevel="0" collapsed="false">
      <c r="B13" s="17" t="s">
        <v>40</v>
      </c>
      <c r="C13" s="20" t="n">
        <v>0.07</v>
      </c>
      <c r="D13" s="19" t="s">
        <v>41</v>
      </c>
    </row>
    <row r="14" customFormat="false" ht="15" hidden="false" customHeight="false" outlineLevel="0" collapsed="false">
      <c r="B14" s="17" t="s">
        <v>42</v>
      </c>
      <c r="C14" s="20" t="n">
        <v>0.35</v>
      </c>
      <c r="D14" s="19" t="s">
        <v>43</v>
      </c>
    </row>
  </sheetData>
  <dataValidations count="1">
    <dataValidation allowBlank="false" error="Escribe un porcentaje (ej. 8%)." errorStyle="stop" errorTitle="Valor no válido" operator="between" showDropDown="false" showErrorMessage="false" showInputMessage="false" sqref="C11:C14" type="decimal">
      <formula1>-1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&amp;LData Edge · Plantilla gratuita&amp;RPágina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3"/>
    <col collapsed="false" customWidth="true" hidden="false" outlineLevel="0" max="15" min="14" style="0" width="15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21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3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25.5" hidden="false" customHeight="true" outlineLevel="0" collapsed="false">
      <c r="A5" s="3" t="s">
        <v>44</v>
      </c>
    </row>
    <row r="6" customFormat="false" ht="15" hidden="false" customHeight="false" outlineLevel="0" collapsed="false">
      <c r="A6" s="4" t="str">
        <f aca="false">"Empresa: "&amp;Empresa&amp;"  ·  Cifras en "&amp;Moneda&amp;"  ·  Ene–Sep real · Oct–Dic proyectado"</f>
        <v>Empresa: Mi Empresa S.A.S.  ·  Cifras en COP  ·  Ene–Sep real · Oct–Dic proyectado</v>
      </c>
    </row>
    <row r="7" customFormat="false" ht="15" hidden="false" customHeight="false" outlineLevel="0" collapsed="false">
      <c r="B7" s="21" t="s">
        <v>45</v>
      </c>
      <c r="K7" s="22" t="s">
        <v>46</v>
      </c>
    </row>
    <row r="8" customFormat="false" ht="21.75" hidden="false" customHeight="true" outlineLevel="0" collapsed="false">
      <c r="A8" s="23" t="s">
        <v>47</v>
      </c>
      <c r="B8" s="24" t="s">
        <v>48</v>
      </c>
      <c r="C8" s="24" t="s">
        <v>49</v>
      </c>
      <c r="D8" s="24" t="s">
        <v>50</v>
      </c>
      <c r="E8" s="24" t="s">
        <v>51</v>
      </c>
      <c r="F8" s="24" t="s">
        <v>52</v>
      </c>
      <c r="G8" s="24" t="s">
        <v>53</v>
      </c>
      <c r="H8" s="24" t="s">
        <v>54</v>
      </c>
      <c r="I8" s="24" t="s">
        <v>55</v>
      </c>
      <c r="J8" s="24" t="s">
        <v>56</v>
      </c>
      <c r="K8" s="25" t="s">
        <v>57</v>
      </c>
      <c r="L8" s="25" t="s">
        <v>58</v>
      </c>
      <c r="M8" s="25" t="s">
        <v>59</v>
      </c>
      <c r="N8" s="24" t="s">
        <v>60</v>
      </c>
      <c r="O8" s="24" t="s">
        <v>61</v>
      </c>
    </row>
    <row r="9" customFormat="false" ht="15" hidden="false" customHeight="false" outlineLevel="0" collapsed="false">
      <c r="A9" s="26" t="s">
        <v>62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customFormat="false" ht="15" hidden="false" customHeight="false" outlineLevel="0" collapsed="false">
      <c r="A10" s="17" t="s">
        <v>63</v>
      </c>
      <c r="B10" s="27" t="n">
        <v>80000000</v>
      </c>
      <c r="C10" s="27" t="n">
        <v>82000000</v>
      </c>
      <c r="D10" s="27" t="n">
        <v>78000000</v>
      </c>
      <c r="E10" s="27" t="n">
        <v>85000000</v>
      </c>
      <c r="F10" s="27" t="n">
        <v>88000000</v>
      </c>
      <c r="G10" s="27" t="n">
        <v>90000000</v>
      </c>
      <c r="H10" s="27" t="n">
        <v>87000000</v>
      </c>
      <c r="I10" s="27" t="n">
        <v>92000000</v>
      </c>
      <c r="J10" s="27" t="n">
        <v>95000000</v>
      </c>
      <c r="K10" s="28" t="n">
        <f aca="false">AVERAGE($H10:$J10)*(1+$O10)</f>
        <v>91333333.3333333</v>
      </c>
      <c r="L10" s="28" t="n">
        <f aca="false">AVERAGE($H10:$J10)*(1+$O10)</f>
        <v>91333333.3333333</v>
      </c>
      <c r="M10" s="28" t="n">
        <f aca="false">AVERAGE($H10:$J10)*(1+$O10)</f>
        <v>91333333.3333333</v>
      </c>
      <c r="N10" s="29" t="n">
        <f aca="false">SUM(B10:M10)</f>
        <v>1051000000</v>
      </c>
      <c r="O10" s="30" t="n">
        <v>0</v>
      </c>
    </row>
    <row r="11" customFormat="false" ht="15" hidden="false" customHeight="false" outlineLevel="0" collapsed="false">
      <c r="A11" s="17" t="s">
        <v>64</v>
      </c>
      <c r="B11" s="27" t="n">
        <v>1200000</v>
      </c>
      <c r="C11" s="27" t="n">
        <v>1100000</v>
      </c>
      <c r="D11" s="27" t="n">
        <v>1300000</v>
      </c>
      <c r="E11" s="27" t="n">
        <v>1200000</v>
      </c>
      <c r="F11" s="27" t="n">
        <v>1000000</v>
      </c>
      <c r="G11" s="27" t="n">
        <v>1400000</v>
      </c>
      <c r="H11" s="27" t="n">
        <v>1200000</v>
      </c>
      <c r="I11" s="27" t="n">
        <v>1100000</v>
      </c>
      <c r="J11" s="27" t="n">
        <v>1300000</v>
      </c>
      <c r="K11" s="28" t="n">
        <f aca="false">AVERAGE($H11:$J11)*(1+$O11)</f>
        <v>1200000</v>
      </c>
      <c r="L11" s="28" t="n">
        <f aca="false">AVERAGE($H11:$J11)*(1+$O11)</f>
        <v>1200000</v>
      </c>
      <c r="M11" s="28" t="n">
        <f aca="false">AVERAGE($H11:$J11)*(1+$O11)</f>
        <v>1200000</v>
      </c>
      <c r="N11" s="29" t="n">
        <f aca="false">SUM(B11:M11)</f>
        <v>14400000</v>
      </c>
      <c r="O11" s="30" t="n">
        <v>0</v>
      </c>
    </row>
    <row r="12" customFormat="false" ht="15" hidden="false" customHeight="false" outlineLevel="0" collapsed="false">
      <c r="A12" s="31" t="s">
        <v>65</v>
      </c>
      <c r="B12" s="32" t="n">
        <f aca="false">SUM(B10:B11)</f>
        <v>81200000</v>
      </c>
      <c r="C12" s="32" t="n">
        <f aca="false">SUM(C10:C11)</f>
        <v>83100000</v>
      </c>
      <c r="D12" s="32" t="n">
        <f aca="false">SUM(D10:D11)</f>
        <v>79300000</v>
      </c>
      <c r="E12" s="32" t="n">
        <f aca="false">SUM(E10:E11)</f>
        <v>86200000</v>
      </c>
      <c r="F12" s="32" t="n">
        <f aca="false">SUM(F10:F11)</f>
        <v>89000000</v>
      </c>
      <c r="G12" s="32" t="n">
        <f aca="false">SUM(G10:G11)</f>
        <v>91400000</v>
      </c>
      <c r="H12" s="32" t="n">
        <f aca="false">SUM(H10:H11)</f>
        <v>88200000</v>
      </c>
      <c r="I12" s="32" t="n">
        <f aca="false">SUM(I10:I11)</f>
        <v>93100000</v>
      </c>
      <c r="J12" s="32" t="n">
        <f aca="false">SUM(J10:J11)</f>
        <v>96300000</v>
      </c>
      <c r="K12" s="32" t="n">
        <f aca="false">SUM(K10:K11)</f>
        <v>92533333.3333333</v>
      </c>
      <c r="L12" s="32" t="n">
        <f aca="false">SUM(L10:L11)</f>
        <v>92533333.3333333</v>
      </c>
      <c r="M12" s="32" t="n">
        <f aca="false">SUM(M10:M11)</f>
        <v>92533333.3333333</v>
      </c>
      <c r="N12" s="32" t="n">
        <f aca="false">SUM(B12:M12)</f>
        <v>1065400000</v>
      </c>
      <c r="O12" s="31"/>
    </row>
    <row r="13" customFormat="false" ht="15" hidden="false" customHeight="false" outlineLevel="0" collapsed="false">
      <c r="A13" s="17" t="s">
        <v>66</v>
      </c>
      <c r="B13" s="27" t="n">
        <v>46400000</v>
      </c>
      <c r="C13" s="27" t="n">
        <v>47600000</v>
      </c>
      <c r="D13" s="27" t="n">
        <v>45200000</v>
      </c>
      <c r="E13" s="27" t="n">
        <v>49300000</v>
      </c>
      <c r="F13" s="27" t="n">
        <v>51000000</v>
      </c>
      <c r="G13" s="27" t="n">
        <v>52200000</v>
      </c>
      <c r="H13" s="27" t="n">
        <v>50500000</v>
      </c>
      <c r="I13" s="27" t="n">
        <v>53400000</v>
      </c>
      <c r="J13" s="27" t="n">
        <v>55100000</v>
      </c>
      <c r="K13" s="28" t="n">
        <f aca="false">AVERAGE($H13:$J13)*(1+$O13)</f>
        <v>53000000</v>
      </c>
      <c r="L13" s="28" t="n">
        <f aca="false">AVERAGE($H13:$J13)*(1+$O13)</f>
        <v>53000000</v>
      </c>
      <c r="M13" s="28" t="n">
        <f aca="false">AVERAGE($H13:$J13)*(1+$O13)</f>
        <v>53000000</v>
      </c>
      <c r="N13" s="29" t="n">
        <f aca="false">SUM(B13:M13)</f>
        <v>609700000</v>
      </c>
      <c r="O13" s="30" t="n">
        <v>0</v>
      </c>
    </row>
    <row r="14" customFormat="false" ht="15" hidden="false" customHeight="false" outlineLevel="0" collapsed="false">
      <c r="A14" s="31" t="s">
        <v>67</v>
      </c>
      <c r="B14" s="32" t="n">
        <f aca="false">B12-B13</f>
        <v>34800000</v>
      </c>
      <c r="C14" s="32" t="n">
        <f aca="false">C12-C13</f>
        <v>35500000</v>
      </c>
      <c r="D14" s="32" t="n">
        <f aca="false">D12-D13</f>
        <v>34100000</v>
      </c>
      <c r="E14" s="32" t="n">
        <f aca="false">E12-E13</f>
        <v>36900000</v>
      </c>
      <c r="F14" s="32" t="n">
        <f aca="false">F12-F13</f>
        <v>38000000</v>
      </c>
      <c r="G14" s="32" t="n">
        <f aca="false">G12-G13</f>
        <v>39200000</v>
      </c>
      <c r="H14" s="32" t="n">
        <f aca="false">H12-H13</f>
        <v>37700000</v>
      </c>
      <c r="I14" s="32" t="n">
        <f aca="false">I12-I13</f>
        <v>39700000</v>
      </c>
      <c r="J14" s="32" t="n">
        <f aca="false">J12-J13</f>
        <v>41200000</v>
      </c>
      <c r="K14" s="32" t="n">
        <f aca="false">K12-K13</f>
        <v>39533333.3333333</v>
      </c>
      <c r="L14" s="32" t="n">
        <f aca="false">L12-L13</f>
        <v>39533333.3333333</v>
      </c>
      <c r="M14" s="32" t="n">
        <f aca="false">M12-M13</f>
        <v>39533333.3333333</v>
      </c>
      <c r="N14" s="32" t="n">
        <f aca="false">SUM(B14:M14)</f>
        <v>455700000</v>
      </c>
      <c r="O14" s="31"/>
    </row>
    <row r="15" customFormat="false" ht="15" hidden="false" customHeight="false" outlineLevel="0" collapsed="false">
      <c r="A15" s="33" t="s">
        <v>68</v>
      </c>
      <c r="B15" s="34" t="n">
        <f aca="false">IFERROR(B14/B12,0)</f>
        <v>0.428571428571429</v>
      </c>
      <c r="C15" s="34" t="n">
        <f aca="false">IFERROR(C14/C12,0)</f>
        <v>0.42719614921781</v>
      </c>
      <c r="D15" s="34" t="n">
        <f aca="false">IFERROR(D14/D12,0)</f>
        <v>0.430012610340479</v>
      </c>
      <c r="E15" s="34" t="n">
        <f aca="false">IFERROR(E14/E12,0)</f>
        <v>0.428074245939675</v>
      </c>
      <c r="F15" s="34" t="n">
        <f aca="false">IFERROR(F14/F12,0)</f>
        <v>0.426966292134831</v>
      </c>
      <c r="G15" s="34" t="n">
        <f aca="false">IFERROR(G14/G12,0)</f>
        <v>0.428884026258206</v>
      </c>
      <c r="H15" s="34" t="n">
        <f aca="false">IFERROR(H14/H12,0)</f>
        <v>0.427437641723356</v>
      </c>
      <c r="I15" s="34" t="n">
        <f aca="false">IFERROR(I14/I12,0)</f>
        <v>0.426423200859291</v>
      </c>
      <c r="J15" s="34" t="n">
        <f aca="false">IFERROR(J14/J12,0)</f>
        <v>0.427829698857736</v>
      </c>
      <c r="K15" s="34" t="n">
        <f aca="false">IFERROR(K14/K12,0)</f>
        <v>0.427233429394813</v>
      </c>
      <c r="L15" s="34" t="n">
        <f aca="false">IFERROR(L14/L12,0)</f>
        <v>0.427233429394813</v>
      </c>
      <c r="M15" s="34" t="n">
        <f aca="false">IFERROR(M14/M12,0)</f>
        <v>0.427233429394813</v>
      </c>
      <c r="N15" s="34" t="n">
        <f aca="false">IFERROR(N14/N12,0)</f>
        <v>0.42772667542707</v>
      </c>
      <c r="O15" s="33"/>
    </row>
    <row r="16" customFormat="false" ht="15" hidden="false" customHeight="false" outlineLevel="0" collapsed="false">
      <c r="A16" s="26" t="s">
        <v>69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customFormat="false" ht="15" hidden="false" customHeight="false" outlineLevel="0" collapsed="false">
      <c r="A17" s="17" t="s">
        <v>70</v>
      </c>
      <c r="B17" s="27" t="n">
        <v>13500000</v>
      </c>
      <c r="C17" s="27" t="n">
        <v>13500000</v>
      </c>
      <c r="D17" s="27" t="n">
        <v>13500000</v>
      </c>
      <c r="E17" s="27" t="n">
        <v>13500000</v>
      </c>
      <c r="F17" s="27" t="n">
        <v>13500000</v>
      </c>
      <c r="G17" s="27" t="n">
        <v>13500000</v>
      </c>
      <c r="H17" s="27" t="n">
        <v>14200000</v>
      </c>
      <c r="I17" s="27" t="n">
        <v>14200000</v>
      </c>
      <c r="J17" s="27" t="n">
        <v>14200000</v>
      </c>
      <c r="K17" s="28" t="n">
        <f aca="false">AVERAGE($H17:$J17)*(1+$O17)</f>
        <v>14200000</v>
      </c>
      <c r="L17" s="28" t="n">
        <f aca="false">AVERAGE($H17:$J17)*(1+$O17)</f>
        <v>14200000</v>
      </c>
      <c r="M17" s="28" t="n">
        <f aca="false">AVERAGE($H17:$J17)*(1+$O17)</f>
        <v>14200000</v>
      </c>
      <c r="N17" s="29" t="n">
        <f aca="false">SUM(B17:M17)</f>
        <v>166200000</v>
      </c>
      <c r="O17" s="30" t="n">
        <v>0</v>
      </c>
    </row>
    <row r="18" customFormat="false" ht="15" hidden="false" customHeight="false" outlineLevel="0" collapsed="false">
      <c r="A18" s="17" t="s">
        <v>71</v>
      </c>
      <c r="B18" s="27" t="n">
        <v>4500000</v>
      </c>
      <c r="C18" s="27" t="n">
        <v>4500000</v>
      </c>
      <c r="D18" s="27" t="n">
        <v>4500000</v>
      </c>
      <c r="E18" s="27" t="n">
        <v>4500000</v>
      </c>
      <c r="F18" s="27" t="n">
        <v>4500000</v>
      </c>
      <c r="G18" s="27" t="n">
        <v>4500000</v>
      </c>
      <c r="H18" s="27" t="n">
        <v>4500000</v>
      </c>
      <c r="I18" s="27" t="n">
        <v>4500000</v>
      </c>
      <c r="J18" s="27" t="n">
        <v>4500000</v>
      </c>
      <c r="K18" s="28" t="n">
        <f aca="false">AVERAGE($H18:$J18)*(1+$O18)</f>
        <v>4500000</v>
      </c>
      <c r="L18" s="28" t="n">
        <f aca="false">AVERAGE($H18:$J18)*(1+$O18)</f>
        <v>4500000</v>
      </c>
      <c r="M18" s="28" t="n">
        <f aca="false">AVERAGE($H18:$J18)*(1+$O18)</f>
        <v>4500000</v>
      </c>
      <c r="N18" s="29" t="n">
        <f aca="false">SUM(B18:M18)</f>
        <v>54000000</v>
      </c>
      <c r="O18" s="30" t="n">
        <v>0</v>
      </c>
    </row>
    <row r="19" customFormat="false" ht="15" hidden="false" customHeight="false" outlineLevel="0" collapsed="false">
      <c r="A19" s="17" t="s">
        <v>72</v>
      </c>
      <c r="B19" s="27" t="n">
        <v>1100000</v>
      </c>
      <c r="C19" s="27" t="n">
        <v>1000000</v>
      </c>
      <c r="D19" s="27" t="n">
        <v>1100000</v>
      </c>
      <c r="E19" s="27" t="n">
        <v>1200000</v>
      </c>
      <c r="F19" s="27" t="n">
        <v>1100000</v>
      </c>
      <c r="G19" s="27" t="n">
        <v>1200000</v>
      </c>
      <c r="H19" s="27" t="n">
        <v>1100000</v>
      </c>
      <c r="I19" s="27" t="n">
        <v>1200000</v>
      </c>
      <c r="J19" s="27" t="n">
        <v>1200000</v>
      </c>
      <c r="K19" s="28" t="n">
        <f aca="false">AVERAGE($H19:$J19)*(1+$O19)</f>
        <v>1166666.66666667</v>
      </c>
      <c r="L19" s="28" t="n">
        <f aca="false">AVERAGE($H19:$J19)*(1+$O19)</f>
        <v>1166666.66666667</v>
      </c>
      <c r="M19" s="28" t="n">
        <f aca="false">AVERAGE($H19:$J19)*(1+$O19)</f>
        <v>1166666.66666667</v>
      </c>
      <c r="N19" s="29" t="n">
        <f aca="false">SUM(B19:M19)</f>
        <v>13700000</v>
      </c>
      <c r="O19" s="30" t="n">
        <v>0</v>
      </c>
    </row>
    <row r="20" customFormat="false" ht="15" hidden="false" customHeight="false" outlineLevel="0" collapsed="false">
      <c r="A20" s="17" t="s">
        <v>73</v>
      </c>
      <c r="B20" s="27" t="n">
        <v>2500000</v>
      </c>
      <c r="C20" s="27" t="n">
        <v>2500000</v>
      </c>
      <c r="D20" s="27" t="n">
        <v>2500000</v>
      </c>
      <c r="E20" s="27" t="n">
        <v>2500000</v>
      </c>
      <c r="F20" s="27" t="n">
        <v>2500000</v>
      </c>
      <c r="G20" s="27" t="n">
        <v>2500000</v>
      </c>
      <c r="H20" s="27" t="n">
        <v>2500000</v>
      </c>
      <c r="I20" s="27" t="n">
        <v>2500000</v>
      </c>
      <c r="J20" s="27" t="n">
        <v>2500000</v>
      </c>
      <c r="K20" s="28" t="n">
        <f aca="false">AVERAGE($H20:$J20)*(1+$O20)</f>
        <v>2500000</v>
      </c>
      <c r="L20" s="28" t="n">
        <f aca="false">AVERAGE($H20:$J20)*(1+$O20)</f>
        <v>2500000</v>
      </c>
      <c r="M20" s="28" t="n">
        <f aca="false">AVERAGE($H20:$J20)*(1+$O20)</f>
        <v>2500000</v>
      </c>
      <c r="N20" s="29" t="n">
        <f aca="false">SUM(B20:M20)</f>
        <v>30000000</v>
      </c>
      <c r="O20" s="30" t="n">
        <v>0</v>
      </c>
    </row>
    <row r="21" customFormat="false" ht="15" hidden="false" customHeight="false" outlineLevel="0" collapsed="false">
      <c r="A21" s="17" t="s">
        <v>74</v>
      </c>
      <c r="B21" s="27" t="n">
        <v>2000000</v>
      </c>
      <c r="C21" s="27" t="n">
        <v>1800000</v>
      </c>
      <c r="D21" s="27" t="n">
        <v>2200000</v>
      </c>
      <c r="E21" s="27" t="n">
        <v>2000000</v>
      </c>
      <c r="F21" s="27" t="n">
        <v>2500000</v>
      </c>
      <c r="G21" s="27" t="n">
        <v>2000000</v>
      </c>
      <c r="H21" s="27" t="n">
        <v>1900000</v>
      </c>
      <c r="I21" s="27" t="n">
        <v>2100000</v>
      </c>
      <c r="J21" s="27" t="n">
        <v>2400000</v>
      </c>
      <c r="K21" s="28" t="n">
        <f aca="false">AVERAGE($H21:$J21)*(1+$O21)</f>
        <v>2133333.33333333</v>
      </c>
      <c r="L21" s="28" t="n">
        <f aca="false">AVERAGE($H21:$J21)*(1+$O21)</f>
        <v>2133333.33333333</v>
      </c>
      <c r="M21" s="28" t="n">
        <f aca="false">AVERAGE($H21:$J21)*(1+$O21)</f>
        <v>2133333.33333333</v>
      </c>
      <c r="N21" s="29" t="n">
        <f aca="false">SUM(B21:M21)</f>
        <v>25300000</v>
      </c>
      <c r="O21" s="30" t="n">
        <v>0</v>
      </c>
    </row>
    <row r="22" customFormat="false" ht="15" hidden="false" customHeight="false" outlineLevel="0" collapsed="false">
      <c r="A22" s="17" t="s">
        <v>75</v>
      </c>
      <c r="B22" s="27" t="n">
        <v>900000</v>
      </c>
      <c r="C22" s="27" t="n">
        <v>900000</v>
      </c>
      <c r="D22" s="27" t="n">
        <v>900000</v>
      </c>
      <c r="E22" s="27" t="n">
        <v>900000</v>
      </c>
      <c r="F22" s="27" t="n">
        <v>900000</v>
      </c>
      <c r="G22" s="27" t="n">
        <v>900000</v>
      </c>
      <c r="H22" s="27" t="n">
        <v>900000</v>
      </c>
      <c r="I22" s="27" t="n">
        <v>900000</v>
      </c>
      <c r="J22" s="27" t="n">
        <v>900000</v>
      </c>
      <c r="K22" s="28" t="n">
        <f aca="false">AVERAGE($H22:$J22)*(1+$O22)</f>
        <v>900000</v>
      </c>
      <c r="L22" s="28" t="n">
        <f aca="false">AVERAGE($H22:$J22)*(1+$O22)</f>
        <v>900000</v>
      </c>
      <c r="M22" s="28" t="n">
        <f aca="false">AVERAGE($H22:$J22)*(1+$O22)</f>
        <v>900000</v>
      </c>
      <c r="N22" s="29" t="n">
        <f aca="false">SUM(B22:M22)</f>
        <v>10800000</v>
      </c>
      <c r="O22" s="30" t="n">
        <v>0</v>
      </c>
    </row>
    <row r="23" customFormat="false" ht="15" hidden="false" customHeight="false" outlineLevel="0" collapsed="false">
      <c r="A23" s="17" t="s">
        <v>76</v>
      </c>
      <c r="B23" s="27" t="n">
        <v>1500000</v>
      </c>
      <c r="C23" s="27" t="n">
        <v>1500000</v>
      </c>
      <c r="D23" s="27" t="n">
        <v>1500000</v>
      </c>
      <c r="E23" s="27" t="n">
        <v>1500000</v>
      </c>
      <c r="F23" s="27" t="n">
        <v>1500000</v>
      </c>
      <c r="G23" s="27" t="n">
        <v>1500000</v>
      </c>
      <c r="H23" s="27" t="n">
        <v>1500000</v>
      </c>
      <c r="I23" s="27" t="n">
        <v>1500000</v>
      </c>
      <c r="J23" s="27" t="n">
        <v>1500000</v>
      </c>
      <c r="K23" s="28" t="n">
        <f aca="false">AVERAGE($H23:$J23)*(1+$O23)</f>
        <v>1500000</v>
      </c>
      <c r="L23" s="28" t="n">
        <f aca="false">AVERAGE($H23:$J23)*(1+$O23)</f>
        <v>1500000</v>
      </c>
      <c r="M23" s="28" t="n">
        <f aca="false">AVERAGE($H23:$J23)*(1+$O23)</f>
        <v>1500000</v>
      </c>
      <c r="N23" s="29" t="n">
        <f aca="false">SUM(B23:M23)</f>
        <v>18000000</v>
      </c>
      <c r="O23" s="30" t="n">
        <v>0</v>
      </c>
    </row>
    <row r="24" customFormat="false" ht="15" hidden="false" customHeight="false" outlineLevel="0" collapsed="false">
      <c r="A24" s="17" t="s">
        <v>77</v>
      </c>
      <c r="B24" s="27" t="n">
        <v>1800000</v>
      </c>
      <c r="C24" s="27" t="n">
        <v>1600000</v>
      </c>
      <c r="D24" s="27" t="n">
        <v>1900000</v>
      </c>
      <c r="E24" s="27" t="n">
        <v>1700000</v>
      </c>
      <c r="F24" s="27" t="n">
        <v>1800000</v>
      </c>
      <c r="G24" s="27" t="n">
        <v>2000000</v>
      </c>
      <c r="H24" s="27" t="n">
        <v>1700000</v>
      </c>
      <c r="I24" s="27" t="n">
        <v>1900000</v>
      </c>
      <c r="J24" s="27" t="n">
        <v>1800000</v>
      </c>
      <c r="K24" s="28" t="n">
        <f aca="false">AVERAGE($H24:$J24)*(1+$O24)</f>
        <v>1800000</v>
      </c>
      <c r="L24" s="28" t="n">
        <f aca="false">AVERAGE($H24:$J24)*(1+$O24)</f>
        <v>1800000</v>
      </c>
      <c r="M24" s="28" t="n">
        <f aca="false">AVERAGE($H24:$J24)*(1+$O24)</f>
        <v>1800000</v>
      </c>
      <c r="N24" s="29" t="n">
        <f aca="false">SUM(B24:M24)</f>
        <v>21600000</v>
      </c>
      <c r="O24" s="30" t="n">
        <v>0</v>
      </c>
    </row>
    <row r="25" customFormat="false" ht="15" hidden="false" customHeight="false" outlineLevel="0" collapsed="false">
      <c r="A25" s="31" t="s">
        <v>78</v>
      </c>
      <c r="B25" s="32" t="n">
        <f aca="false">SUM(B17:B24)</f>
        <v>27800000</v>
      </c>
      <c r="C25" s="32" t="n">
        <f aca="false">SUM(C17:C24)</f>
        <v>27300000</v>
      </c>
      <c r="D25" s="32" t="n">
        <f aca="false">SUM(D17:D24)</f>
        <v>28100000</v>
      </c>
      <c r="E25" s="32" t="n">
        <f aca="false">SUM(E17:E24)</f>
        <v>27800000</v>
      </c>
      <c r="F25" s="32" t="n">
        <f aca="false">SUM(F17:F24)</f>
        <v>28300000</v>
      </c>
      <c r="G25" s="32" t="n">
        <f aca="false">SUM(G17:G24)</f>
        <v>28100000</v>
      </c>
      <c r="H25" s="32" t="n">
        <f aca="false">SUM(H17:H24)</f>
        <v>28300000</v>
      </c>
      <c r="I25" s="32" t="n">
        <f aca="false">SUM(I17:I24)</f>
        <v>28800000</v>
      </c>
      <c r="J25" s="32" t="n">
        <f aca="false">SUM(J17:J24)</f>
        <v>29000000</v>
      </c>
      <c r="K25" s="32" t="n">
        <f aca="false">SUM(K17:K24)</f>
        <v>28700000</v>
      </c>
      <c r="L25" s="32" t="n">
        <f aca="false">SUM(L17:L24)</f>
        <v>28700000</v>
      </c>
      <c r="M25" s="32" t="n">
        <f aca="false">SUM(M17:M24)</f>
        <v>28700000</v>
      </c>
      <c r="N25" s="32" t="n">
        <f aca="false">SUM(B25:M25)</f>
        <v>339600000</v>
      </c>
      <c r="O25" s="31"/>
    </row>
    <row r="26" customFormat="false" ht="15" hidden="false" customHeight="false" outlineLevel="0" collapsed="false">
      <c r="A26" s="31" t="s">
        <v>79</v>
      </c>
      <c r="B26" s="32" t="n">
        <f aca="false">B14-B25</f>
        <v>7000000</v>
      </c>
      <c r="C26" s="32" t="n">
        <f aca="false">C14-C25</f>
        <v>8200000</v>
      </c>
      <c r="D26" s="32" t="n">
        <f aca="false">D14-D25</f>
        <v>6000000</v>
      </c>
      <c r="E26" s="32" t="n">
        <f aca="false">E14-E25</f>
        <v>9100000</v>
      </c>
      <c r="F26" s="32" t="n">
        <f aca="false">F14-F25</f>
        <v>9700000</v>
      </c>
      <c r="G26" s="32" t="n">
        <f aca="false">G14-G25</f>
        <v>11100000</v>
      </c>
      <c r="H26" s="32" t="n">
        <f aca="false">H14-H25</f>
        <v>9400000</v>
      </c>
      <c r="I26" s="32" t="n">
        <f aca="false">I14-I25</f>
        <v>10900000</v>
      </c>
      <c r="J26" s="32" t="n">
        <f aca="false">J14-J25</f>
        <v>12200000</v>
      </c>
      <c r="K26" s="32" t="n">
        <f aca="false">K14-K25</f>
        <v>10833333.3333333</v>
      </c>
      <c r="L26" s="32" t="n">
        <f aca="false">L14-L25</f>
        <v>10833333.3333333</v>
      </c>
      <c r="M26" s="32" t="n">
        <f aca="false">M14-M25</f>
        <v>10833333.3333333</v>
      </c>
      <c r="N26" s="32" t="n">
        <f aca="false">SUM(B26:M26)</f>
        <v>116100000</v>
      </c>
      <c r="O26" s="31"/>
    </row>
    <row r="27" customFormat="false" ht="15" hidden="false" customHeight="false" outlineLevel="0" collapsed="false">
      <c r="A27" s="17" t="s">
        <v>80</v>
      </c>
      <c r="B27" s="27" t="n">
        <v>1200000</v>
      </c>
      <c r="C27" s="27" t="n">
        <v>1200000</v>
      </c>
      <c r="D27" s="27" t="n">
        <v>1200000</v>
      </c>
      <c r="E27" s="27" t="n">
        <v>1150000</v>
      </c>
      <c r="F27" s="27" t="n">
        <v>1150000</v>
      </c>
      <c r="G27" s="27" t="n">
        <v>1100000</v>
      </c>
      <c r="H27" s="27" t="n">
        <v>1100000</v>
      </c>
      <c r="I27" s="27" t="n">
        <v>1050000</v>
      </c>
      <c r="J27" s="27" t="n">
        <v>1050000</v>
      </c>
      <c r="K27" s="28" t="n">
        <f aca="false">AVERAGE($H27:$J27)*(1+$O27)</f>
        <v>1066666.66666667</v>
      </c>
      <c r="L27" s="28" t="n">
        <f aca="false">AVERAGE($H27:$J27)*(1+$O27)</f>
        <v>1066666.66666667</v>
      </c>
      <c r="M27" s="28" t="n">
        <f aca="false">AVERAGE($H27:$J27)*(1+$O27)</f>
        <v>1066666.66666667</v>
      </c>
      <c r="N27" s="29" t="n">
        <f aca="false">SUM(B27:M27)</f>
        <v>13400000</v>
      </c>
      <c r="O27" s="30" t="n">
        <v>0</v>
      </c>
    </row>
    <row r="28" customFormat="false" ht="15" hidden="false" customHeight="false" outlineLevel="0" collapsed="false">
      <c r="A28" s="31" t="s">
        <v>81</v>
      </c>
      <c r="B28" s="32" t="n">
        <f aca="false">B26-B27</f>
        <v>5800000</v>
      </c>
      <c r="C28" s="32" t="n">
        <f aca="false">C26-C27</f>
        <v>7000000</v>
      </c>
      <c r="D28" s="32" t="n">
        <f aca="false">D26-D27</f>
        <v>4800000</v>
      </c>
      <c r="E28" s="32" t="n">
        <f aca="false">E26-E27</f>
        <v>7950000</v>
      </c>
      <c r="F28" s="32" t="n">
        <f aca="false">F26-F27</f>
        <v>8550000</v>
      </c>
      <c r="G28" s="32" t="n">
        <f aca="false">G26-G27</f>
        <v>10000000</v>
      </c>
      <c r="H28" s="32" t="n">
        <f aca="false">H26-H27</f>
        <v>8300000</v>
      </c>
      <c r="I28" s="32" t="n">
        <f aca="false">I26-I27</f>
        <v>9850000</v>
      </c>
      <c r="J28" s="32" t="n">
        <f aca="false">J26-J27</f>
        <v>11150000</v>
      </c>
      <c r="K28" s="32" t="n">
        <f aca="false">K26-K27</f>
        <v>9766666.66666666</v>
      </c>
      <c r="L28" s="32" t="n">
        <f aca="false">L26-L27</f>
        <v>9766666.66666666</v>
      </c>
      <c r="M28" s="32" t="n">
        <f aca="false">M26-M27</f>
        <v>9766666.66666666</v>
      </c>
      <c r="N28" s="32" t="n">
        <f aca="false">SUM(B28:M28)</f>
        <v>102700000</v>
      </c>
      <c r="O28" s="31"/>
    </row>
    <row r="29" customFormat="false" ht="15" hidden="false" customHeight="false" outlineLevel="0" collapsed="false">
      <c r="A29" s="17" t="s">
        <v>82</v>
      </c>
      <c r="B29" s="28" t="n">
        <f aca="false">MAX(0,B28)*Tasa_Renta</f>
        <v>2030000</v>
      </c>
      <c r="C29" s="28" t="n">
        <f aca="false">MAX(0,C28)*Tasa_Renta</f>
        <v>2450000</v>
      </c>
      <c r="D29" s="28" t="n">
        <f aca="false">MAX(0,D28)*Tasa_Renta</f>
        <v>1680000</v>
      </c>
      <c r="E29" s="28" t="n">
        <f aca="false">MAX(0,E28)*Tasa_Renta</f>
        <v>2782500</v>
      </c>
      <c r="F29" s="28" t="n">
        <f aca="false">MAX(0,F28)*Tasa_Renta</f>
        <v>2992500</v>
      </c>
      <c r="G29" s="28" t="n">
        <f aca="false">MAX(0,G28)*Tasa_Renta</f>
        <v>3500000</v>
      </c>
      <c r="H29" s="28" t="n">
        <f aca="false">MAX(0,H28)*Tasa_Renta</f>
        <v>2905000</v>
      </c>
      <c r="I29" s="28" t="n">
        <f aca="false">MAX(0,I28)*Tasa_Renta</f>
        <v>3447500</v>
      </c>
      <c r="J29" s="28" t="n">
        <f aca="false">MAX(0,J28)*Tasa_Renta</f>
        <v>3902500</v>
      </c>
      <c r="K29" s="28" t="n">
        <f aca="false">MAX(0,K28)*Tasa_Renta</f>
        <v>3418333.33333333</v>
      </c>
      <c r="L29" s="28" t="n">
        <f aca="false">MAX(0,L28)*Tasa_Renta</f>
        <v>3418333.33333333</v>
      </c>
      <c r="M29" s="28" t="n">
        <f aca="false">MAX(0,M28)*Tasa_Renta</f>
        <v>3418333.33333333</v>
      </c>
      <c r="N29" s="29" t="n">
        <f aca="false">SUM(B29:M29)</f>
        <v>35945000</v>
      </c>
      <c r="O29" s="17"/>
    </row>
    <row r="30" customFormat="false" ht="15" hidden="false" customHeight="false" outlineLevel="0" collapsed="false">
      <c r="A30" s="35" t="s">
        <v>83</v>
      </c>
      <c r="B30" s="36" t="n">
        <f aca="false">B28-B29</f>
        <v>3770000</v>
      </c>
      <c r="C30" s="36" t="n">
        <f aca="false">C28-C29</f>
        <v>4550000</v>
      </c>
      <c r="D30" s="36" t="n">
        <f aca="false">D28-D29</f>
        <v>3120000</v>
      </c>
      <c r="E30" s="36" t="n">
        <f aca="false">E28-E29</f>
        <v>5167500</v>
      </c>
      <c r="F30" s="36" t="n">
        <f aca="false">F28-F29</f>
        <v>5557500</v>
      </c>
      <c r="G30" s="36" t="n">
        <f aca="false">G28-G29</f>
        <v>6500000</v>
      </c>
      <c r="H30" s="36" t="n">
        <f aca="false">H28-H29</f>
        <v>5395000</v>
      </c>
      <c r="I30" s="36" t="n">
        <f aca="false">I28-I29</f>
        <v>6402500</v>
      </c>
      <c r="J30" s="36" t="n">
        <f aca="false">J28-J29</f>
        <v>7247500</v>
      </c>
      <c r="K30" s="36" t="n">
        <f aca="false">K28-K29</f>
        <v>6348333.33333333</v>
      </c>
      <c r="L30" s="36" t="n">
        <f aca="false">L28-L29</f>
        <v>6348333.33333333</v>
      </c>
      <c r="M30" s="36" t="n">
        <f aca="false">M28-M29</f>
        <v>6348333.33333333</v>
      </c>
      <c r="N30" s="36" t="n">
        <f aca="false">SUM(B30:M30)</f>
        <v>66755000</v>
      </c>
      <c r="O30" s="35"/>
    </row>
    <row r="31" customFormat="false" ht="15" hidden="false" customHeight="false" outlineLevel="0" collapsed="false">
      <c r="A31" s="33" t="s">
        <v>84</v>
      </c>
      <c r="B31" s="34" t="n">
        <f aca="false">IFERROR(B30/B12,0)</f>
        <v>0.0464285714285714</v>
      </c>
      <c r="C31" s="34" t="n">
        <f aca="false">IFERROR(C30/C12,0)</f>
        <v>0.0547533092659447</v>
      </c>
      <c r="D31" s="34" t="n">
        <f aca="false">IFERROR(D30/D12,0)</f>
        <v>0.039344262295082</v>
      </c>
      <c r="E31" s="34" t="n">
        <f aca="false">IFERROR(E30/E12,0)</f>
        <v>0.0599477958236659</v>
      </c>
      <c r="F31" s="34" t="n">
        <f aca="false">IFERROR(F30/F12,0)</f>
        <v>0.0624438202247191</v>
      </c>
      <c r="G31" s="34" t="n">
        <f aca="false">IFERROR(G30/G12,0)</f>
        <v>0.0711159737417943</v>
      </c>
      <c r="H31" s="34" t="n">
        <f aca="false">IFERROR(H30/H12,0)</f>
        <v>0.0611678004535147</v>
      </c>
      <c r="I31" s="34" t="n">
        <f aca="false">IFERROR(I30/I12,0)</f>
        <v>0.0687701396348013</v>
      </c>
      <c r="J31" s="34" t="n">
        <f aca="false">IFERROR(J30/J12,0)</f>
        <v>0.0752596053997923</v>
      </c>
      <c r="K31" s="34" t="n">
        <f aca="false">IFERROR(K30/K12,0)</f>
        <v>0.0686059077809798</v>
      </c>
      <c r="L31" s="34" t="n">
        <f aca="false">IFERROR(L30/L12,0)</f>
        <v>0.0686059077809798</v>
      </c>
      <c r="M31" s="34" t="n">
        <f aca="false">IFERROR(M30/M12,0)</f>
        <v>0.0686059077809798</v>
      </c>
      <c r="N31" s="34" t="n">
        <f aca="false">IFERROR(N30/N12,0)</f>
        <v>0.0626572179463112</v>
      </c>
      <c r="O31" s="33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&amp;LData Edge · Plantilla gratuita&amp;RPágina &amp;P de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14" min="3" style="0" width="13"/>
    <col collapsed="false" customWidth="true" hidden="false" outlineLevel="0" max="16" min="15" style="0" width="15"/>
    <col collapsed="false" customWidth="true" hidden="false" outlineLevel="0" max="17" min="17" style="0" width="11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21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3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25.5" hidden="false" customHeight="true" outlineLevel="0" collapsed="false">
      <c r="A5" s="3" t="s">
        <v>85</v>
      </c>
    </row>
    <row r="6" customFormat="false" ht="15" hidden="false" customHeight="false" outlineLevel="0" collapsed="false">
      <c r="A6" s="4" t="str">
        <f aca="false">"Empresa: "&amp;Empresa&amp;"  ·  Cifras en "&amp;Moneda&amp;"  ·  Base: cierre 2026 mes a mes"</f>
        <v>Empresa: Mi Empresa S.A.S.  ·  Cifras en COP  ·  Base: cierre 2026 mes a mes</v>
      </c>
    </row>
    <row r="8" customFormat="false" ht="27.75" hidden="false" customHeight="true" outlineLevel="0" collapsed="false">
      <c r="A8" s="37" t="s">
        <v>47</v>
      </c>
      <c r="B8" s="38" t="s">
        <v>86</v>
      </c>
      <c r="C8" s="38" t="s">
        <v>87</v>
      </c>
      <c r="D8" s="38" t="s">
        <v>88</v>
      </c>
      <c r="E8" s="38" t="s">
        <v>89</v>
      </c>
      <c r="F8" s="38" t="s">
        <v>90</v>
      </c>
      <c r="G8" s="38" t="s">
        <v>91</v>
      </c>
      <c r="H8" s="38" t="s">
        <v>92</v>
      </c>
      <c r="I8" s="38" t="s">
        <v>93</v>
      </c>
      <c r="J8" s="38" t="s">
        <v>94</v>
      </c>
      <c r="K8" s="38" t="s">
        <v>95</v>
      </c>
      <c r="L8" s="38" t="s">
        <v>96</v>
      </c>
      <c r="M8" s="38" t="s">
        <v>97</v>
      </c>
      <c r="N8" s="38" t="s">
        <v>98</v>
      </c>
      <c r="O8" s="38" t="s">
        <v>99</v>
      </c>
      <c r="P8" s="38" t="s">
        <v>100</v>
      </c>
      <c r="Q8" s="38" t="s">
        <v>101</v>
      </c>
    </row>
    <row r="9" customFormat="false" ht="15" hidden="false" customHeight="false" outlineLevel="0" collapsed="false">
      <c r="A9" s="26" t="s">
        <v>62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  <row r="10" customFormat="false" ht="15" hidden="false" customHeight="false" outlineLevel="0" collapsed="false">
      <c r="A10" s="17" t="s">
        <v>63</v>
      </c>
      <c r="B10" s="39" t="n">
        <f aca="false">Crec_Ventas</f>
        <v>0.08</v>
      </c>
      <c r="C10" s="28" t="n">
        <f aca="false">'Cierre 2026'!B10*(1+$B10)</f>
        <v>86400000</v>
      </c>
      <c r="D10" s="28" t="n">
        <f aca="false">'Cierre 2026'!C10*(1+$B10)</f>
        <v>88560000</v>
      </c>
      <c r="E10" s="28" t="n">
        <f aca="false">'Cierre 2026'!D10*(1+$B10)</f>
        <v>84240000</v>
      </c>
      <c r="F10" s="28" t="n">
        <f aca="false">'Cierre 2026'!E10*(1+$B10)</f>
        <v>91800000</v>
      </c>
      <c r="G10" s="28" t="n">
        <f aca="false">'Cierre 2026'!F10*(1+$B10)</f>
        <v>95040000</v>
      </c>
      <c r="H10" s="28" t="n">
        <f aca="false">'Cierre 2026'!G10*(1+$B10)</f>
        <v>97200000</v>
      </c>
      <c r="I10" s="28" t="n">
        <f aca="false">'Cierre 2026'!H10*(1+$B10)</f>
        <v>93960000</v>
      </c>
      <c r="J10" s="28" t="n">
        <f aca="false">'Cierre 2026'!I10*(1+$B10)</f>
        <v>99360000</v>
      </c>
      <c r="K10" s="28" t="n">
        <f aca="false">'Cierre 2026'!J10*(1+$B10)</f>
        <v>102600000</v>
      </c>
      <c r="L10" s="28" t="n">
        <f aca="false">'Cierre 2026'!K10*(1+$B10)</f>
        <v>98640000</v>
      </c>
      <c r="M10" s="28" t="n">
        <f aca="false">'Cierre 2026'!L10*(1+$B10)</f>
        <v>98640000</v>
      </c>
      <c r="N10" s="28" t="n">
        <f aca="false">'Cierre 2026'!M10*(1+$B10)</f>
        <v>98640000</v>
      </c>
      <c r="O10" s="29" t="n">
        <f aca="false">SUM(C10:N10)</f>
        <v>1135080000</v>
      </c>
      <c r="P10" s="40" t="n">
        <f aca="false">'Cierre 2026'!N10</f>
        <v>1051000000</v>
      </c>
      <c r="Q10" s="41" t="n">
        <f aca="false">IFERROR(O10/P10-1,0)</f>
        <v>0.0800000000000001</v>
      </c>
    </row>
    <row r="11" customFormat="false" ht="15" hidden="false" customHeight="false" outlineLevel="0" collapsed="false">
      <c r="A11" s="17" t="s">
        <v>64</v>
      </c>
      <c r="B11" s="39" t="n">
        <f aca="false">Inflacion</f>
        <v>0.045</v>
      </c>
      <c r="C11" s="28" t="n">
        <f aca="false">'Cierre 2026'!B11*(1+$B11)</f>
        <v>1254000</v>
      </c>
      <c r="D11" s="28" t="n">
        <f aca="false">'Cierre 2026'!C11*(1+$B11)</f>
        <v>1149500</v>
      </c>
      <c r="E11" s="28" t="n">
        <f aca="false">'Cierre 2026'!D11*(1+$B11)</f>
        <v>1358500</v>
      </c>
      <c r="F11" s="28" t="n">
        <f aca="false">'Cierre 2026'!E11*(1+$B11)</f>
        <v>1254000</v>
      </c>
      <c r="G11" s="28" t="n">
        <f aca="false">'Cierre 2026'!F11*(1+$B11)</f>
        <v>1045000</v>
      </c>
      <c r="H11" s="28" t="n">
        <f aca="false">'Cierre 2026'!G11*(1+$B11)</f>
        <v>1463000</v>
      </c>
      <c r="I11" s="28" t="n">
        <f aca="false">'Cierre 2026'!H11*(1+$B11)</f>
        <v>1254000</v>
      </c>
      <c r="J11" s="28" t="n">
        <f aca="false">'Cierre 2026'!I11*(1+$B11)</f>
        <v>1149500</v>
      </c>
      <c r="K11" s="28" t="n">
        <f aca="false">'Cierre 2026'!J11*(1+$B11)</f>
        <v>1358500</v>
      </c>
      <c r="L11" s="28" t="n">
        <f aca="false">'Cierre 2026'!K11*(1+$B11)</f>
        <v>1254000</v>
      </c>
      <c r="M11" s="28" t="n">
        <f aca="false">'Cierre 2026'!L11*(1+$B11)</f>
        <v>1254000</v>
      </c>
      <c r="N11" s="28" t="n">
        <f aca="false">'Cierre 2026'!M11*(1+$B11)</f>
        <v>1254000</v>
      </c>
      <c r="O11" s="29" t="n">
        <f aca="false">SUM(C11:N11)</f>
        <v>15048000</v>
      </c>
      <c r="P11" s="40" t="n">
        <f aca="false">'Cierre 2026'!N11</f>
        <v>14400000</v>
      </c>
      <c r="Q11" s="41" t="n">
        <f aca="false">IFERROR(O11/P11-1,0)</f>
        <v>0.0449999999999999</v>
      </c>
    </row>
    <row r="12" customFormat="false" ht="15" hidden="false" customHeight="false" outlineLevel="0" collapsed="false">
      <c r="A12" s="31" t="s">
        <v>65</v>
      </c>
      <c r="B12" s="31"/>
      <c r="C12" s="32" t="n">
        <f aca="false">SUM(C10:C11)</f>
        <v>87654000</v>
      </c>
      <c r="D12" s="32" t="n">
        <f aca="false">SUM(D10:D11)</f>
        <v>89709500</v>
      </c>
      <c r="E12" s="32" t="n">
        <f aca="false">SUM(E10:E11)</f>
        <v>85598500</v>
      </c>
      <c r="F12" s="32" t="n">
        <f aca="false">SUM(F10:F11)</f>
        <v>93054000</v>
      </c>
      <c r="G12" s="32" t="n">
        <f aca="false">SUM(G10:G11)</f>
        <v>96085000</v>
      </c>
      <c r="H12" s="32" t="n">
        <f aca="false">SUM(H10:H11)</f>
        <v>98663000</v>
      </c>
      <c r="I12" s="32" t="n">
        <f aca="false">SUM(I10:I11)</f>
        <v>95214000</v>
      </c>
      <c r="J12" s="32" t="n">
        <f aca="false">SUM(J10:J11)</f>
        <v>100509500</v>
      </c>
      <c r="K12" s="32" t="n">
        <f aca="false">SUM(K10:K11)</f>
        <v>103958500</v>
      </c>
      <c r="L12" s="32" t="n">
        <f aca="false">SUM(L10:L11)</f>
        <v>99894000</v>
      </c>
      <c r="M12" s="32" t="n">
        <f aca="false">SUM(M10:M11)</f>
        <v>99894000</v>
      </c>
      <c r="N12" s="32" t="n">
        <f aca="false">SUM(N10:N11)</f>
        <v>99894000</v>
      </c>
      <c r="O12" s="32" t="n">
        <f aca="false">SUM(C12:N12)</f>
        <v>1150128000</v>
      </c>
      <c r="P12" s="32" t="n">
        <f aca="false">'Cierre 2026'!N12</f>
        <v>1065400000</v>
      </c>
      <c r="Q12" s="42" t="n">
        <f aca="false">IFERROR(O12/P12-1,0)</f>
        <v>0.079526938239159</v>
      </c>
    </row>
    <row r="13" customFormat="false" ht="15" hidden="false" customHeight="false" outlineLevel="0" collapsed="false">
      <c r="A13" s="17" t="s">
        <v>66</v>
      </c>
      <c r="B13" s="43" t="n">
        <f aca="false">IFERROR('Cierre 2026'!N13/'Cierre 2026'!N10,0)</f>
        <v>0.58011417697431</v>
      </c>
      <c r="C13" s="28" t="n">
        <f aca="false">C10*$B13</f>
        <v>50121864.8905804</v>
      </c>
      <c r="D13" s="28" t="n">
        <f aca="false">D10*$B13</f>
        <v>51374911.5128449</v>
      </c>
      <c r="E13" s="28" t="n">
        <f aca="false">E10*$B13</f>
        <v>48868818.2683159</v>
      </c>
      <c r="F13" s="28" t="n">
        <f aca="false">F10*$B13</f>
        <v>53254481.4462417</v>
      </c>
      <c r="G13" s="28" t="n">
        <f aca="false">G10*$B13</f>
        <v>55134051.3796384</v>
      </c>
      <c r="H13" s="28" t="n">
        <f aca="false">H10*$B13</f>
        <v>56387098.001903</v>
      </c>
      <c r="I13" s="28" t="n">
        <f aca="false">I10*$B13</f>
        <v>54507528.0685062</v>
      </c>
      <c r="J13" s="28" t="n">
        <f aca="false">J10*$B13</f>
        <v>57640144.6241675</v>
      </c>
      <c r="K13" s="28" t="n">
        <f aca="false">K10*$B13</f>
        <v>59519714.5575642</v>
      </c>
      <c r="L13" s="28" t="n">
        <f aca="false">L10*$B13</f>
        <v>57222462.416746</v>
      </c>
      <c r="M13" s="28" t="n">
        <f aca="false">M10*$B13</f>
        <v>57222462.416746</v>
      </c>
      <c r="N13" s="28" t="n">
        <f aca="false">N10*$B13</f>
        <v>57222462.416746</v>
      </c>
      <c r="O13" s="29" t="n">
        <f aca="false">SUM(C13:N13)</f>
        <v>658476000</v>
      </c>
      <c r="P13" s="40" t="n">
        <f aca="false">'Cierre 2026'!N13</f>
        <v>609700000</v>
      </c>
      <c r="Q13" s="41" t="n">
        <f aca="false">IFERROR(O13/P13-1,0)</f>
        <v>0.0800000000000001</v>
      </c>
    </row>
    <row r="14" customFormat="false" ht="15" hidden="false" customHeight="false" outlineLevel="0" collapsed="false">
      <c r="A14" s="31" t="s">
        <v>67</v>
      </c>
      <c r="B14" s="31"/>
      <c r="C14" s="32" t="n">
        <f aca="false">C12-C13</f>
        <v>37532135.1094196</v>
      </c>
      <c r="D14" s="32" t="n">
        <f aca="false">D12-D13</f>
        <v>38334588.4871551</v>
      </c>
      <c r="E14" s="32" t="n">
        <f aca="false">E12-E13</f>
        <v>36729681.7316841</v>
      </c>
      <c r="F14" s="32" t="n">
        <f aca="false">F12-F13</f>
        <v>39799518.5537583</v>
      </c>
      <c r="G14" s="32" t="n">
        <f aca="false">G12-G13</f>
        <v>40950948.6203616</v>
      </c>
      <c r="H14" s="32" t="n">
        <f aca="false">H12-H13</f>
        <v>42275901.9980971</v>
      </c>
      <c r="I14" s="32" t="n">
        <f aca="false">I12-I13</f>
        <v>40706471.9314938</v>
      </c>
      <c r="J14" s="32" t="n">
        <f aca="false">J12-J13</f>
        <v>42869355.3758325</v>
      </c>
      <c r="K14" s="32" t="n">
        <f aca="false">K12-K13</f>
        <v>44438785.4424358</v>
      </c>
      <c r="L14" s="32" t="n">
        <f aca="false">L12-L13</f>
        <v>42671537.583254</v>
      </c>
      <c r="M14" s="32" t="n">
        <f aca="false">M12-M13</f>
        <v>42671537.583254</v>
      </c>
      <c r="N14" s="32" t="n">
        <f aca="false">N12-N13</f>
        <v>42671537.583254</v>
      </c>
      <c r="O14" s="32" t="n">
        <f aca="false">SUM(C14:N14)</f>
        <v>491652000</v>
      </c>
      <c r="P14" s="32" t="n">
        <f aca="false">'Cierre 2026'!N14</f>
        <v>455700000</v>
      </c>
      <c r="Q14" s="42" t="n">
        <f aca="false">IFERROR(O14/P14-1,0)</f>
        <v>0.07889400921659</v>
      </c>
    </row>
    <row r="15" customFormat="false" ht="15" hidden="false" customHeight="false" outlineLevel="0" collapsed="false">
      <c r="A15" s="33" t="s">
        <v>68</v>
      </c>
      <c r="B15" s="33"/>
      <c r="C15" s="34" t="n">
        <f aca="false">IFERROR(C14/C12,0)</f>
        <v>0.428185081221845</v>
      </c>
      <c r="D15" s="34" t="n">
        <f aca="false">IFERROR(D14/D12,0)</f>
        <v>0.427319163379075</v>
      </c>
      <c r="E15" s="34" t="n">
        <f aca="false">IFERROR(E14/E12,0)</f>
        <v>0.429092586104711</v>
      </c>
      <c r="F15" s="34" t="n">
        <f aca="false">IFERROR(F14/F12,0)</f>
        <v>0.427703468456577</v>
      </c>
      <c r="G15" s="34" t="n">
        <f aca="false">IFERROR(G14/G12,0)</f>
        <v>0.426195021287002</v>
      </c>
      <c r="H15" s="34" t="n">
        <f aca="false">IFERROR(H14/H12,0)</f>
        <v>0.428487903247388</v>
      </c>
      <c r="I15" s="34" t="n">
        <f aca="false">IFERROR(I14/I12,0)</f>
        <v>0.42752611938889</v>
      </c>
      <c r="J15" s="34" t="n">
        <f aca="false">IFERROR(J14/J12,0)</f>
        <v>0.426520432156488</v>
      </c>
      <c r="K15" s="34" t="n">
        <f aca="false">IFERROR(K14/K12,0)</f>
        <v>0.4274665894798</v>
      </c>
      <c r="L15" s="34" t="n">
        <f aca="false">IFERROR(L14/L12,0)</f>
        <v>0.427168174097083</v>
      </c>
      <c r="M15" s="34" t="n">
        <f aca="false">IFERROR(M14/M12,0)</f>
        <v>0.427168174097083</v>
      </c>
      <c r="N15" s="34" t="n">
        <f aca="false">IFERROR(N14/N12,0)</f>
        <v>0.427168174097083</v>
      </c>
      <c r="O15" s="34" t="n">
        <f aca="false">IFERROR(O14/O12,0)</f>
        <v>0.427475898334794</v>
      </c>
      <c r="P15" s="34" t="n">
        <f aca="false">'Cierre 2026'!N15</f>
        <v>0.42772667542707</v>
      </c>
      <c r="Q15" s="34" t="n">
        <f aca="false">O15-P15</f>
        <v>-0.000250777092275611</v>
      </c>
    </row>
    <row r="16" customFormat="false" ht="15" hidden="false" customHeight="false" outlineLevel="0" collapsed="false">
      <c r="A16" s="26" t="s">
        <v>69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customFormat="false" ht="15" hidden="false" customHeight="false" outlineLevel="0" collapsed="false">
      <c r="A17" s="17" t="s">
        <v>70</v>
      </c>
      <c r="B17" s="39" t="n">
        <f aca="false">Incr_Salarial</f>
        <v>0.07</v>
      </c>
      <c r="C17" s="28" t="n">
        <f aca="false">'Cierre 2026'!B17*(1+$B17)</f>
        <v>14445000</v>
      </c>
      <c r="D17" s="28" t="n">
        <f aca="false">'Cierre 2026'!C17*(1+$B17)</f>
        <v>14445000</v>
      </c>
      <c r="E17" s="28" t="n">
        <f aca="false">'Cierre 2026'!D17*(1+$B17)</f>
        <v>14445000</v>
      </c>
      <c r="F17" s="28" t="n">
        <f aca="false">'Cierre 2026'!E17*(1+$B17)</f>
        <v>14445000</v>
      </c>
      <c r="G17" s="28" t="n">
        <f aca="false">'Cierre 2026'!F17*(1+$B17)</f>
        <v>14445000</v>
      </c>
      <c r="H17" s="28" t="n">
        <f aca="false">'Cierre 2026'!G17*(1+$B17)</f>
        <v>14445000</v>
      </c>
      <c r="I17" s="28" t="n">
        <f aca="false">'Cierre 2026'!H17*(1+$B17)</f>
        <v>15194000</v>
      </c>
      <c r="J17" s="28" t="n">
        <f aca="false">'Cierre 2026'!I17*(1+$B17)</f>
        <v>15194000</v>
      </c>
      <c r="K17" s="28" t="n">
        <f aca="false">'Cierre 2026'!J17*(1+$B17)</f>
        <v>15194000</v>
      </c>
      <c r="L17" s="28" t="n">
        <f aca="false">'Cierre 2026'!K17*(1+$B17)</f>
        <v>15194000</v>
      </c>
      <c r="M17" s="28" t="n">
        <f aca="false">'Cierre 2026'!L17*(1+$B17)</f>
        <v>15194000</v>
      </c>
      <c r="N17" s="28" t="n">
        <f aca="false">'Cierre 2026'!M17*(1+$B17)</f>
        <v>15194000</v>
      </c>
      <c r="O17" s="29" t="n">
        <f aca="false">SUM(C17:N17)</f>
        <v>177834000</v>
      </c>
      <c r="P17" s="40" t="n">
        <f aca="false">'Cierre 2026'!N17</f>
        <v>166200000</v>
      </c>
      <c r="Q17" s="41" t="n">
        <f aca="false">IFERROR(O17/P17-1,0)</f>
        <v>0.0700000000000001</v>
      </c>
    </row>
    <row r="18" customFormat="false" ht="15" hidden="false" customHeight="false" outlineLevel="0" collapsed="false">
      <c r="A18" s="17" t="s">
        <v>71</v>
      </c>
      <c r="B18" s="39" t="n">
        <f aca="false">Inflacion</f>
        <v>0.045</v>
      </c>
      <c r="C18" s="28" t="n">
        <f aca="false">'Cierre 2026'!B18*(1+$B18)</f>
        <v>4702500</v>
      </c>
      <c r="D18" s="28" t="n">
        <f aca="false">'Cierre 2026'!C18*(1+$B18)</f>
        <v>4702500</v>
      </c>
      <c r="E18" s="28" t="n">
        <f aca="false">'Cierre 2026'!D18*(1+$B18)</f>
        <v>4702500</v>
      </c>
      <c r="F18" s="28" t="n">
        <f aca="false">'Cierre 2026'!E18*(1+$B18)</f>
        <v>4702500</v>
      </c>
      <c r="G18" s="28" t="n">
        <f aca="false">'Cierre 2026'!F18*(1+$B18)</f>
        <v>4702500</v>
      </c>
      <c r="H18" s="28" t="n">
        <f aca="false">'Cierre 2026'!G18*(1+$B18)</f>
        <v>4702500</v>
      </c>
      <c r="I18" s="28" t="n">
        <f aca="false">'Cierre 2026'!H18*(1+$B18)</f>
        <v>4702500</v>
      </c>
      <c r="J18" s="28" t="n">
        <f aca="false">'Cierre 2026'!I18*(1+$B18)</f>
        <v>4702500</v>
      </c>
      <c r="K18" s="28" t="n">
        <f aca="false">'Cierre 2026'!J18*(1+$B18)</f>
        <v>4702500</v>
      </c>
      <c r="L18" s="28" t="n">
        <f aca="false">'Cierre 2026'!K18*(1+$B18)</f>
        <v>4702500</v>
      </c>
      <c r="M18" s="28" t="n">
        <f aca="false">'Cierre 2026'!L18*(1+$B18)</f>
        <v>4702500</v>
      </c>
      <c r="N18" s="28" t="n">
        <f aca="false">'Cierre 2026'!M18*(1+$B18)</f>
        <v>4702500</v>
      </c>
      <c r="O18" s="29" t="n">
        <f aca="false">SUM(C18:N18)</f>
        <v>56430000</v>
      </c>
      <c r="P18" s="40" t="n">
        <f aca="false">'Cierre 2026'!N18</f>
        <v>54000000</v>
      </c>
      <c r="Q18" s="41" t="n">
        <f aca="false">IFERROR(O18/P18-1,0)</f>
        <v>0.0449999999999999</v>
      </c>
    </row>
    <row r="19" customFormat="false" ht="15" hidden="false" customHeight="false" outlineLevel="0" collapsed="false">
      <c r="A19" s="17" t="s">
        <v>72</v>
      </c>
      <c r="B19" s="39" t="n">
        <f aca="false">Inflacion</f>
        <v>0.045</v>
      </c>
      <c r="C19" s="28" t="n">
        <f aca="false">'Cierre 2026'!B19*(1+$B19)</f>
        <v>1149500</v>
      </c>
      <c r="D19" s="28" t="n">
        <f aca="false">'Cierre 2026'!C19*(1+$B19)</f>
        <v>1045000</v>
      </c>
      <c r="E19" s="28" t="n">
        <f aca="false">'Cierre 2026'!D19*(1+$B19)</f>
        <v>1149500</v>
      </c>
      <c r="F19" s="28" t="n">
        <f aca="false">'Cierre 2026'!E19*(1+$B19)</f>
        <v>1254000</v>
      </c>
      <c r="G19" s="28" t="n">
        <f aca="false">'Cierre 2026'!F19*(1+$B19)</f>
        <v>1149500</v>
      </c>
      <c r="H19" s="28" t="n">
        <f aca="false">'Cierre 2026'!G19*(1+$B19)</f>
        <v>1254000</v>
      </c>
      <c r="I19" s="28" t="n">
        <f aca="false">'Cierre 2026'!H19*(1+$B19)</f>
        <v>1149500</v>
      </c>
      <c r="J19" s="28" t="n">
        <f aca="false">'Cierre 2026'!I19*(1+$B19)</f>
        <v>1254000</v>
      </c>
      <c r="K19" s="28" t="n">
        <f aca="false">'Cierre 2026'!J19*(1+$B19)</f>
        <v>1254000</v>
      </c>
      <c r="L19" s="28" t="n">
        <f aca="false">'Cierre 2026'!K19*(1+$B19)</f>
        <v>1219166.66666667</v>
      </c>
      <c r="M19" s="28" t="n">
        <f aca="false">'Cierre 2026'!L19*(1+$B19)</f>
        <v>1219166.66666667</v>
      </c>
      <c r="N19" s="28" t="n">
        <f aca="false">'Cierre 2026'!M19*(1+$B19)</f>
        <v>1219166.66666667</v>
      </c>
      <c r="O19" s="29" t="n">
        <f aca="false">SUM(C19:N19)</f>
        <v>14316500</v>
      </c>
      <c r="P19" s="40" t="n">
        <f aca="false">'Cierre 2026'!N19</f>
        <v>13700000</v>
      </c>
      <c r="Q19" s="41" t="n">
        <f aca="false">IFERROR(O19/P19-1,0)</f>
        <v>0.0449999999999999</v>
      </c>
    </row>
    <row r="20" customFormat="false" ht="15" hidden="false" customHeight="false" outlineLevel="0" collapsed="false">
      <c r="A20" s="17" t="s">
        <v>73</v>
      </c>
      <c r="B20" s="39" t="n">
        <f aca="false">Inflacion</f>
        <v>0.045</v>
      </c>
      <c r="C20" s="28" t="n">
        <f aca="false">'Cierre 2026'!B20*(1+$B20)</f>
        <v>2612500</v>
      </c>
      <c r="D20" s="28" t="n">
        <f aca="false">'Cierre 2026'!C20*(1+$B20)</f>
        <v>2612500</v>
      </c>
      <c r="E20" s="28" t="n">
        <f aca="false">'Cierre 2026'!D20*(1+$B20)</f>
        <v>2612500</v>
      </c>
      <c r="F20" s="28" t="n">
        <f aca="false">'Cierre 2026'!E20*(1+$B20)</f>
        <v>2612500</v>
      </c>
      <c r="G20" s="28" t="n">
        <f aca="false">'Cierre 2026'!F20*(1+$B20)</f>
        <v>2612500</v>
      </c>
      <c r="H20" s="28" t="n">
        <f aca="false">'Cierre 2026'!G20*(1+$B20)</f>
        <v>2612500</v>
      </c>
      <c r="I20" s="28" t="n">
        <f aca="false">'Cierre 2026'!H20*(1+$B20)</f>
        <v>2612500</v>
      </c>
      <c r="J20" s="28" t="n">
        <f aca="false">'Cierre 2026'!I20*(1+$B20)</f>
        <v>2612500</v>
      </c>
      <c r="K20" s="28" t="n">
        <f aca="false">'Cierre 2026'!J20*(1+$B20)</f>
        <v>2612500</v>
      </c>
      <c r="L20" s="28" t="n">
        <f aca="false">'Cierre 2026'!K20*(1+$B20)</f>
        <v>2612500</v>
      </c>
      <c r="M20" s="28" t="n">
        <f aca="false">'Cierre 2026'!L20*(1+$B20)</f>
        <v>2612500</v>
      </c>
      <c r="N20" s="28" t="n">
        <f aca="false">'Cierre 2026'!M20*(1+$B20)</f>
        <v>2612500</v>
      </c>
      <c r="O20" s="29" t="n">
        <f aca="false">SUM(C20:N20)</f>
        <v>31350000</v>
      </c>
      <c r="P20" s="40" t="n">
        <f aca="false">'Cierre 2026'!N20</f>
        <v>30000000</v>
      </c>
      <c r="Q20" s="41" t="n">
        <f aca="false">IFERROR(O20/P20-1,0)</f>
        <v>0.0449999999999999</v>
      </c>
    </row>
    <row r="21" customFormat="false" ht="15" hidden="false" customHeight="false" outlineLevel="0" collapsed="false">
      <c r="A21" s="17" t="s">
        <v>74</v>
      </c>
      <c r="B21" s="39" t="n">
        <f aca="false">Inflacion</f>
        <v>0.045</v>
      </c>
      <c r="C21" s="28" t="n">
        <f aca="false">'Cierre 2026'!B21*(1+$B21)</f>
        <v>2090000</v>
      </c>
      <c r="D21" s="28" t="n">
        <f aca="false">'Cierre 2026'!C21*(1+$B21)</f>
        <v>1881000</v>
      </c>
      <c r="E21" s="28" t="n">
        <f aca="false">'Cierre 2026'!D21*(1+$B21)</f>
        <v>2299000</v>
      </c>
      <c r="F21" s="28" t="n">
        <f aca="false">'Cierre 2026'!E21*(1+$B21)</f>
        <v>2090000</v>
      </c>
      <c r="G21" s="28" t="n">
        <f aca="false">'Cierre 2026'!F21*(1+$B21)</f>
        <v>2612500</v>
      </c>
      <c r="H21" s="28" t="n">
        <f aca="false">'Cierre 2026'!G21*(1+$B21)</f>
        <v>2090000</v>
      </c>
      <c r="I21" s="28" t="n">
        <f aca="false">'Cierre 2026'!H21*(1+$B21)</f>
        <v>1985500</v>
      </c>
      <c r="J21" s="28" t="n">
        <f aca="false">'Cierre 2026'!I21*(1+$B21)</f>
        <v>2194500</v>
      </c>
      <c r="K21" s="28" t="n">
        <f aca="false">'Cierre 2026'!J21*(1+$B21)</f>
        <v>2508000</v>
      </c>
      <c r="L21" s="28" t="n">
        <f aca="false">'Cierre 2026'!K21*(1+$B21)</f>
        <v>2229333.33333333</v>
      </c>
      <c r="M21" s="28" t="n">
        <f aca="false">'Cierre 2026'!L21*(1+$B21)</f>
        <v>2229333.33333333</v>
      </c>
      <c r="N21" s="28" t="n">
        <f aca="false">'Cierre 2026'!M21*(1+$B21)</f>
        <v>2229333.33333333</v>
      </c>
      <c r="O21" s="29" t="n">
        <f aca="false">SUM(C21:N21)</f>
        <v>26438500</v>
      </c>
      <c r="P21" s="40" t="n">
        <f aca="false">'Cierre 2026'!N21</f>
        <v>25300000</v>
      </c>
      <c r="Q21" s="41" t="n">
        <f aca="false">IFERROR(O21/P21-1,0)</f>
        <v>0.0449999999999999</v>
      </c>
    </row>
    <row r="22" customFormat="false" ht="15" hidden="false" customHeight="false" outlineLevel="0" collapsed="false">
      <c r="A22" s="17" t="s">
        <v>75</v>
      </c>
      <c r="B22" s="39" t="n">
        <f aca="false">Inflacion</f>
        <v>0.045</v>
      </c>
      <c r="C22" s="28" t="n">
        <f aca="false">'Cierre 2026'!B22*(1+$B22)</f>
        <v>940500</v>
      </c>
      <c r="D22" s="28" t="n">
        <f aca="false">'Cierre 2026'!C22*(1+$B22)</f>
        <v>940500</v>
      </c>
      <c r="E22" s="28" t="n">
        <f aca="false">'Cierre 2026'!D22*(1+$B22)</f>
        <v>940500</v>
      </c>
      <c r="F22" s="28" t="n">
        <f aca="false">'Cierre 2026'!E22*(1+$B22)</f>
        <v>940500</v>
      </c>
      <c r="G22" s="28" t="n">
        <f aca="false">'Cierre 2026'!F22*(1+$B22)</f>
        <v>940500</v>
      </c>
      <c r="H22" s="28" t="n">
        <f aca="false">'Cierre 2026'!G22*(1+$B22)</f>
        <v>940500</v>
      </c>
      <c r="I22" s="28" t="n">
        <f aca="false">'Cierre 2026'!H22*(1+$B22)</f>
        <v>940500</v>
      </c>
      <c r="J22" s="28" t="n">
        <f aca="false">'Cierre 2026'!I22*(1+$B22)</f>
        <v>940500</v>
      </c>
      <c r="K22" s="28" t="n">
        <f aca="false">'Cierre 2026'!J22*(1+$B22)</f>
        <v>940500</v>
      </c>
      <c r="L22" s="28" t="n">
        <f aca="false">'Cierre 2026'!K22*(1+$B22)</f>
        <v>940500</v>
      </c>
      <c r="M22" s="28" t="n">
        <f aca="false">'Cierre 2026'!L22*(1+$B22)</f>
        <v>940500</v>
      </c>
      <c r="N22" s="28" t="n">
        <f aca="false">'Cierre 2026'!M22*(1+$B22)</f>
        <v>940500</v>
      </c>
      <c r="O22" s="29" t="n">
        <f aca="false">SUM(C22:N22)</f>
        <v>11286000</v>
      </c>
      <c r="P22" s="40" t="n">
        <f aca="false">'Cierre 2026'!N22</f>
        <v>10800000</v>
      </c>
      <c r="Q22" s="41" t="n">
        <f aca="false">IFERROR(O22/P22-1,0)</f>
        <v>0.0449999999999999</v>
      </c>
    </row>
    <row r="23" customFormat="false" ht="15" hidden="false" customHeight="false" outlineLevel="0" collapsed="false">
      <c r="A23" s="17" t="s">
        <v>76</v>
      </c>
      <c r="B23" s="30" t="n">
        <v>0</v>
      </c>
      <c r="C23" s="28" t="n">
        <f aca="false">'Cierre 2026'!B23*(1+$B23)</f>
        <v>1500000</v>
      </c>
      <c r="D23" s="28" t="n">
        <f aca="false">'Cierre 2026'!C23*(1+$B23)</f>
        <v>1500000</v>
      </c>
      <c r="E23" s="28" t="n">
        <f aca="false">'Cierre 2026'!D23*(1+$B23)</f>
        <v>1500000</v>
      </c>
      <c r="F23" s="28" t="n">
        <f aca="false">'Cierre 2026'!E23*(1+$B23)</f>
        <v>1500000</v>
      </c>
      <c r="G23" s="28" t="n">
        <f aca="false">'Cierre 2026'!F23*(1+$B23)</f>
        <v>1500000</v>
      </c>
      <c r="H23" s="28" t="n">
        <f aca="false">'Cierre 2026'!G23*(1+$B23)</f>
        <v>1500000</v>
      </c>
      <c r="I23" s="28" t="n">
        <f aca="false">'Cierre 2026'!H23*(1+$B23)</f>
        <v>1500000</v>
      </c>
      <c r="J23" s="28" t="n">
        <f aca="false">'Cierre 2026'!I23*(1+$B23)</f>
        <v>1500000</v>
      </c>
      <c r="K23" s="28" t="n">
        <f aca="false">'Cierre 2026'!J23*(1+$B23)</f>
        <v>1500000</v>
      </c>
      <c r="L23" s="28" t="n">
        <f aca="false">'Cierre 2026'!K23*(1+$B23)</f>
        <v>1500000</v>
      </c>
      <c r="M23" s="28" t="n">
        <f aca="false">'Cierre 2026'!L23*(1+$B23)</f>
        <v>1500000</v>
      </c>
      <c r="N23" s="28" t="n">
        <f aca="false">'Cierre 2026'!M23*(1+$B23)</f>
        <v>1500000</v>
      </c>
      <c r="O23" s="29" t="n">
        <f aca="false">SUM(C23:N23)</f>
        <v>18000000</v>
      </c>
      <c r="P23" s="40" t="n">
        <f aca="false">'Cierre 2026'!N23</f>
        <v>18000000</v>
      </c>
      <c r="Q23" s="41" t="n">
        <f aca="false">IFERROR(O23/P23-1,0)</f>
        <v>0</v>
      </c>
    </row>
    <row r="24" customFormat="false" ht="15" hidden="false" customHeight="false" outlineLevel="0" collapsed="false">
      <c r="A24" s="17" t="s">
        <v>77</v>
      </c>
      <c r="B24" s="39" t="n">
        <f aca="false">Inflacion</f>
        <v>0.045</v>
      </c>
      <c r="C24" s="28" t="n">
        <f aca="false">'Cierre 2026'!B24*(1+$B24)</f>
        <v>1881000</v>
      </c>
      <c r="D24" s="28" t="n">
        <f aca="false">'Cierre 2026'!C24*(1+$B24)</f>
        <v>1672000</v>
      </c>
      <c r="E24" s="28" t="n">
        <f aca="false">'Cierre 2026'!D24*(1+$B24)</f>
        <v>1985500</v>
      </c>
      <c r="F24" s="28" t="n">
        <f aca="false">'Cierre 2026'!E24*(1+$B24)</f>
        <v>1776500</v>
      </c>
      <c r="G24" s="28" t="n">
        <f aca="false">'Cierre 2026'!F24*(1+$B24)</f>
        <v>1881000</v>
      </c>
      <c r="H24" s="28" t="n">
        <f aca="false">'Cierre 2026'!G24*(1+$B24)</f>
        <v>2090000</v>
      </c>
      <c r="I24" s="28" t="n">
        <f aca="false">'Cierre 2026'!H24*(1+$B24)</f>
        <v>1776500</v>
      </c>
      <c r="J24" s="28" t="n">
        <f aca="false">'Cierre 2026'!I24*(1+$B24)</f>
        <v>1985500</v>
      </c>
      <c r="K24" s="28" t="n">
        <f aca="false">'Cierre 2026'!J24*(1+$B24)</f>
        <v>1881000</v>
      </c>
      <c r="L24" s="28" t="n">
        <f aca="false">'Cierre 2026'!K24*(1+$B24)</f>
        <v>1881000</v>
      </c>
      <c r="M24" s="28" t="n">
        <f aca="false">'Cierre 2026'!L24*(1+$B24)</f>
        <v>1881000</v>
      </c>
      <c r="N24" s="28" t="n">
        <f aca="false">'Cierre 2026'!M24*(1+$B24)</f>
        <v>1881000</v>
      </c>
      <c r="O24" s="29" t="n">
        <f aca="false">SUM(C24:N24)</f>
        <v>22572000</v>
      </c>
      <c r="P24" s="40" t="n">
        <f aca="false">'Cierre 2026'!N24</f>
        <v>21600000</v>
      </c>
      <c r="Q24" s="41" t="n">
        <f aca="false">IFERROR(O24/P24-1,0)</f>
        <v>0.0449999999999999</v>
      </c>
    </row>
    <row r="25" customFormat="false" ht="15" hidden="false" customHeight="false" outlineLevel="0" collapsed="false">
      <c r="A25" s="31" t="s">
        <v>78</v>
      </c>
      <c r="B25" s="31"/>
      <c r="C25" s="32" t="n">
        <f aca="false">SUM(C17:C24)</f>
        <v>29321000</v>
      </c>
      <c r="D25" s="32" t="n">
        <f aca="false">SUM(D17:D24)</f>
        <v>28798500</v>
      </c>
      <c r="E25" s="32" t="n">
        <f aca="false">SUM(E17:E24)</f>
        <v>29634500</v>
      </c>
      <c r="F25" s="32" t="n">
        <f aca="false">SUM(F17:F24)</f>
        <v>29321000</v>
      </c>
      <c r="G25" s="32" t="n">
        <f aca="false">SUM(G17:G24)</f>
        <v>29843500</v>
      </c>
      <c r="H25" s="32" t="n">
        <f aca="false">SUM(H17:H24)</f>
        <v>29634500</v>
      </c>
      <c r="I25" s="32" t="n">
        <f aca="false">SUM(I17:I24)</f>
        <v>29861000</v>
      </c>
      <c r="J25" s="32" t="n">
        <f aca="false">SUM(J17:J24)</f>
        <v>30383500</v>
      </c>
      <c r="K25" s="32" t="n">
        <f aca="false">SUM(K17:K24)</f>
        <v>30592500</v>
      </c>
      <c r="L25" s="32" t="n">
        <f aca="false">SUM(L17:L24)</f>
        <v>30279000</v>
      </c>
      <c r="M25" s="32" t="n">
        <f aca="false">SUM(M17:M24)</f>
        <v>30279000</v>
      </c>
      <c r="N25" s="32" t="n">
        <f aca="false">SUM(N17:N24)</f>
        <v>30279000</v>
      </c>
      <c r="O25" s="32" t="n">
        <f aca="false">SUM(C25:N25)</f>
        <v>358227000</v>
      </c>
      <c r="P25" s="32" t="n">
        <f aca="false">'Cierre 2026'!N25</f>
        <v>339600000</v>
      </c>
      <c r="Q25" s="42" t="n">
        <f aca="false">IFERROR(O25/P25-1,0)</f>
        <v>0.0548498233215549</v>
      </c>
    </row>
    <row r="26" customFormat="false" ht="15" hidden="false" customHeight="false" outlineLevel="0" collapsed="false">
      <c r="A26" s="31" t="s">
        <v>79</v>
      </c>
      <c r="B26" s="31"/>
      <c r="C26" s="32" t="n">
        <f aca="false">C14-C25</f>
        <v>8211135.1094196</v>
      </c>
      <c r="D26" s="32" t="n">
        <f aca="false">D14-D25</f>
        <v>9536088.48715509</v>
      </c>
      <c r="E26" s="32" t="n">
        <f aca="false">E14-E25</f>
        <v>7095181.7316841</v>
      </c>
      <c r="F26" s="32" t="n">
        <f aca="false">F14-F25</f>
        <v>10478518.5537583</v>
      </c>
      <c r="G26" s="32" t="n">
        <f aca="false">G14-G25</f>
        <v>11107448.6203616</v>
      </c>
      <c r="H26" s="32" t="n">
        <f aca="false">H14-H25</f>
        <v>12641401.998097</v>
      </c>
      <c r="I26" s="32" t="n">
        <f aca="false">I14-I25</f>
        <v>10845471.9314938</v>
      </c>
      <c r="J26" s="32" t="n">
        <f aca="false">J14-J25</f>
        <v>12485855.3758325</v>
      </c>
      <c r="K26" s="32" t="n">
        <f aca="false">K14-K25</f>
        <v>13846285.4424358</v>
      </c>
      <c r="L26" s="32" t="n">
        <f aca="false">L14-L25</f>
        <v>12392537.583254</v>
      </c>
      <c r="M26" s="32" t="n">
        <f aca="false">M14-M25</f>
        <v>12392537.583254</v>
      </c>
      <c r="N26" s="32" t="n">
        <f aca="false">N14-N25</f>
        <v>12392537.583254</v>
      </c>
      <c r="O26" s="32" t="n">
        <f aca="false">SUM(C26:N26)</f>
        <v>133425000</v>
      </c>
      <c r="P26" s="32" t="n">
        <f aca="false">'Cierre 2026'!N26</f>
        <v>116100000</v>
      </c>
      <c r="Q26" s="42" t="n">
        <f aca="false">IFERROR(O26/P26-1,0)</f>
        <v>0.14922480620155</v>
      </c>
    </row>
    <row r="27" customFormat="false" ht="15" hidden="false" customHeight="false" outlineLevel="0" collapsed="false">
      <c r="A27" s="17" t="s">
        <v>80</v>
      </c>
      <c r="B27" s="30" t="n">
        <v>0</v>
      </c>
      <c r="C27" s="28" t="n">
        <f aca="false">'Cierre 2026'!B27*(1+$B27)</f>
        <v>1200000</v>
      </c>
      <c r="D27" s="28" t="n">
        <f aca="false">'Cierre 2026'!C27*(1+$B27)</f>
        <v>1200000</v>
      </c>
      <c r="E27" s="28" t="n">
        <f aca="false">'Cierre 2026'!D27*(1+$B27)</f>
        <v>1200000</v>
      </c>
      <c r="F27" s="28" t="n">
        <f aca="false">'Cierre 2026'!E27*(1+$B27)</f>
        <v>1150000</v>
      </c>
      <c r="G27" s="28" t="n">
        <f aca="false">'Cierre 2026'!F27*(1+$B27)</f>
        <v>1150000</v>
      </c>
      <c r="H27" s="28" t="n">
        <f aca="false">'Cierre 2026'!G27*(1+$B27)</f>
        <v>1100000</v>
      </c>
      <c r="I27" s="28" t="n">
        <f aca="false">'Cierre 2026'!H27*(1+$B27)</f>
        <v>1100000</v>
      </c>
      <c r="J27" s="28" t="n">
        <f aca="false">'Cierre 2026'!I27*(1+$B27)</f>
        <v>1050000</v>
      </c>
      <c r="K27" s="28" t="n">
        <f aca="false">'Cierre 2026'!J27*(1+$B27)</f>
        <v>1050000</v>
      </c>
      <c r="L27" s="28" t="n">
        <f aca="false">'Cierre 2026'!K27*(1+$B27)</f>
        <v>1066666.66666667</v>
      </c>
      <c r="M27" s="28" t="n">
        <f aca="false">'Cierre 2026'!L27*(1+$B27)</f>
        <v>1066666.66666667</v>
      </c>
      <c r="N27" s="28" t="n">
        <f aca="false">'Cierre 2026'!M27*(1+$B27)</f>
        <v>1066666.66666667</v>
      </c>
      <c r="O27" s="29" t="n">
        <f aca="false">SUM(C27:N27)</f>
        <v>13400000</v>
      </c>
      <c r="P27" s="40" t="n">
        <f aca="false">'Cierre 2026'!N27</f>
        <v>13400000</v>
      </c>
      <c r="Q27" s="41" t="n">
        <f aca="false">IFERROR(O27/P27-1,0)</f>
        <v>0</v>
      </c>
    </row>
    <row r="28" customFormat="false" ht="15" hidden="false" customHeight="false" outlineLevel="0" collapsed="false">
      <c r="A28" s="31" t="s">
        <v>81</v>
      </c>
      <c r="B28" s="31"/>
      <c r="C28" s="32" t="n">
        <f aca="false">C26-C27</f>
        <v>7011135.1094196</v>
      </c>
      <c r="D28" s="32" t="n">
        <f aca="false">D26-D27</f>
        <v>8336088.48715509</v>
      </c>
      <c r="E28" s="32" t="n">
        <f aca="false">E26-E27</f>
        <v>5895181.7316841</v>
      </c>
      <c r="F28" s="32" t="n">
        <f aca="false">F26-F27</f>
        <v>9328518.55375832</v>
      </c>
      <c r="G28" s="32" t="n">
        <f aca="false">G26-G27</f>
        <v>9957448.62036156</v>
      </c>
      <c r="H28" s="32" t="n">
        <f aca="false">H26-H27</f>
        <v>11541401.998097</v>
      </c>
      <c r="I28" s="32" t="n">
        <f aca="false">I26-I27</f>
        <v>9745471.93149381</v>
      </c>
      <c r="J28" s="32" t="n">
        <f aca="false">J26-J27</f>
        <v>11435855.3758325</v>
      </c>
      <c r="K28" s="32" t="n">
        <f aca="false">K26-K27</f>
        <v>12796285.4424358</v>
      </c>
      <c r="L28" s="32" t="n">
        <f aca="false">L26-L27</f>
        <v>11325870.9165874</v>
      </c>
      <c r="M28" s="32" t="n">
        <f aca="false">M26-M27</f>
        <v>11325870.9165874</v>
      </c>
      <c r="N28" s="32" t="n">
        <f aca="false">N26-N27</f>
        <v>11325870.9165874</v>
      </c>
      <c r="O28" s="32" t="n">
        <f aca="false">SUM(C28:N28)</f>
        <v>120025000</v>
      </c>
      <c r="P28" s="32" t="n">
        <f aca="false">'Cierre 2026'!N28</f>
        <v>102700000</v>
      </c>
      <c r="Q28" s="42" t="n">
        <f aca="false">IFERROR(O28/P28-1,0)</f>
        <v>0.168695228821811</v>
      </c>
    </row>
    <row r="29" customFormat="false" ht="15" hidden="false" customHeight="false" outlineLevel="0" collapsed="false">
      <c r="A29" s="17" t="s">
        <v>82</v>
      </c>
      <c r="B29" s="17"/>
      <c r="C29" s="28" t="n">
        <f aca="false">MAX(0,C28)*Tasa_Renta</f>
        <v>2453897.28829686</v>
      </c>
      <c r="D29" s="28" t="n">
        <f aca="false">MAX(0,D28)*Tasa_Renta</f>
        <v>2917630.97050428</v>
      </c>
      <c r="E29" s="28" t="n">
        <f aca="false">MAX(0,E28)*Tasa_Renta</f>
        <v>2063313.60608944</v>
      </c>
      <c r="F29" s="28" t="n">
        <f aca="false">MAX(0,F28)*Tasa_Renta</f>
        <v>3264981.49381541</v>
      </c>
      <c r="G29" s="28" t="n">
        <f aca="false">MAX(0,G28)*Tasa_Renta</f>
        <v>3485107.01712655</v>
      </c>
      <c r="H29" s="28" t="n">
        <f aca="false">MAX(0,H28)*Tasa_Renta</f>
        <v>4039490.69933397</v>
      </c>
      <c r="I29" s="28" t="n">
        <f aca="false">MAX(0,I28)*Tasa_Renta</f>
        <v>3410915.17602283</v>
      </c>
      <c r="J29" s="28" t="n">
        <f aca="false">MAX(0,J28)*Tasa_Renta</f>
        <v>4002549.38154139</v>
      </c>
      <c r="K29" s="28" t="n">
        <f aca="false">MAX(0,K28)*Tasa_Renta</f>
        <v>4478699.90485252</v>
      </c>
      <c r="L29" s="28" t="n">
        <f aca="false">MAX(0,L28)*Tasa_Renta</f>
        <v>3964054.82080558</v>
      </c>
      <c r="M29" s="28" t="n">
        <f aca="false">MAX(0,M28)*Tasa_Renta</f>
        <v>3964054.82080558</v>
      </c>
      <c r="N29" s="28" t="n">
        <f aca="false">MAX(0,N28)*Tasa_Renta</f>
        <v>3964054.82080558</v>
      </c>
      <c r="O29" s="29" t="n">
        <f aca="false">SUM(C29:N29)</f>
        <v>42008750</v>
      </c>
      <c r="P29" s="28" t="n">
        <f aca="false">'Cierre 2026'!N29</f>
        <v>35945000</v>
      </c>
      <c r="Q29" s="41" t="n">
        <f aca="false">IFERROR(O29/P29-1,0)</f>
        <v>0.168695228821811</v>
      </c>
    </row>
    <row r="30" customFormat="false" ht="15" hidden="false" customHeight="false" outlineLevel="0" collapsed="false">
      <c r="A30" s="35" t="s">
        <v>83</v>
      </c>
      <c r="B30" s="35"/>
      <c r="C30" s="36" t="n">
        <f aca="false">C28-C29</f>
        <v>4557237.82112274</v>
      </c>
      <c r="D30" s="36" t="n">
        <f aca="false">D28-D29</f>
        <v>5418457.51665081</v>
      </c>
      <c r="E30" s="36" t="n">
        <f aca="false">E28-E29</f>
        <v>3831868.12559467</v>
      </c>
      <c r="F30" s="36" t="n">
        <f aca="false">F28-F29</f>
        <v>6063537.05994291</v>
      </c>
      <c r="G30" s="36" t="n">
        <f aca="false">G28-G29</f>
        <v>6472341.60323501</v>
      </c>
      <c r="H30" s="36" t="n">
        <f aca="false">H28-H29</f>
        <v>7501911.29876308</v>
      </c>
      <c r="I30" s="36" t="n">
        <f aca="false">I28-I29</f>
        <v>6334556.75547098</v>
      </c>
      <c r="J30" s="36" t="n">
        <f aca="false">J28-J29</f>
        <v>7433305.99429115</v>
      </c>
      <c r="K30" s="36" t="n">
        <f aca="false">K28-K29</f>
        <v>8317585.53758325</v>
      </c>
      <c r="L30" s="36" t="n">
        <f aca="false">L28-L29</f>
        <v>7361816.09578179</v>
      </c>
      <c r="M30" s="36" t="n">
        <f aca="false">M28-M29</f>
        <v>7361816.09578179</v>
      </c>
      <c r="N30" s="36" t="n">
        <f aca="false">N28-N29</f>
        <v>7361816.09578179</v>
      </c>
      <c r="O30" s="36" t="n">
        <f aca="false">SUM(C30:N30)</f>
        <v>78016250</v>
      </c>
      <c r="P30" s="36" t="n">
        <f aca="false">'Cierre 2026'!N30</f>
        <v>66755000</v>
      </c>
      <c r="Q30" s="44" t="n">
        <f aca="false">IFERROR(O30/P30-1,0)</f>
        <v>0.168695228821811</v>
      </c>
    </row>
    <row r="31" customFormat="false" ht="15" hidden="false" customHeight="false" outlineLevel="0" collapsed="false">
      <c r="A31" s="33" t="s">
        <v>84</v>
      </c>
      <c r="B31" s="33"/>
      <c r="C31" s="34" t="n">
        <f aca="false">IFERROR(C30/C12,0)</f>
        <v>0.0519912134200691</v>
      </c>
      <c r="D31" s="34" t="n">
        <f aca="false">IFERROR(D30/D12,0)</f>
        <v>0.0604000414298464</v>
      </c>
      <c r="E31" s="34" t="n">
        <f aca="false">IFERROR(E30/E12,0)</f>
        <v>0.0447655989952472</v>
      </c>
      <c r="F31" s="34" t="n">
        <f aca="false">IFERROR(F30/F12,0)</f>
        <v>0.06516148752276</v>
      </c>
      <c r="G31" s="34" t="n">
        <f aca="false">IFERROR(G30/G12,0)</f>
        <v>0.0673605828509654</v>
      </c>
      <c r="H31" s="34" t="n">
        <f aca="false">IFERROR(H30/H12,0)</f>
        <v>0.0760357104361623</v>
      </c>
      <c r="I31" s="34" t="n">
        <f aca="false">IFERROR(I30/I12,0)</f>
        <v>0.0665296779409643</v>
      </c>
      <c r="J31" s="34" t="n">
        <f aca="false">IFERROR(J30/J12,0)</f>
        <v>0.0739562528347186</v>
      </c>
      <c r="K31" s="34" t="n">
        <f aca="false">IFERROR(K30/K12,0)</f>
        <v>0.0800087105679983</v>
      </c>
      <c r="L31" s="34" t="n">
        <f aca="false">IFERROR(L30/L12,0)</f>
        <v>0.0736962790135723</v>
      </c>
      <c r="M31" s="34" t="n">
        <f aca="false">IFERROR(M30/M12,0)</f>
        <v>0.0736962790135723</v>
      </c>
      <c r="N31" s="34" t="n">
        <f aca="false">IFERROR(N30/N12,0)</f>
        <v>0.0736962790135723</v>
      </c>
      <c r="O31" s="34" t="n">
        <f aca="false">IFERROR(O30/O12,0)</f>
        <v>0.0678326673205069</v>
      </c>
      <c r="P31" s="34" t="n">
        <f aca="false">'Cierre 2026'!N31</f>
        <v>0.0626572179463112</v>
      </c>
      <c r="Q31" s="34" t="n">
        <f aca="false">O31-P31</f>
        <v>0.00517544937419569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&amp;LData Edge · Plantilla gratuita&amp;RPágina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3.7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5.5" hidden="false" customHeight="true" outlineLevel="0" collapsed="false">
      <c r="A5" s="3" t="s">
        <v>102</v>
      </c>
    </row>
    <row r="6" customFormat="false" ht="15" hidden="false" customHeight="false" outlineLevel="0" collapsed="false">
      <c r="A6" s="4" t="str">
        <f aca="false">"Empresa: "&amp;Empresa&amp;"  ·  Cifras en "&amp;Moneda</f>
        <v>Empresa: Mi Empresa S.A.S.  ·  Cifras en COP</v>
      </c>
    </row>
    <row r="8" customFormat="false" ht="15" hidden="false" customHeight="false" outlineLevel="0" collapsed="false">
      <c r="A8" s="45" t="s">
        <v>47</v>
      </c>
      <c r="B8" s="46" t="s">
        <v>100</v>
      </c>
      <c r="C8" s="46" t="s">
        <v>85</v>
      </c>
      <c r="D8" s="46" t="s">
        <v>103</v>
      </c>
    </row>
    <row r="9" customFormat="false" ht="15" hidden="false" customHeight="false" outlineLevel="0" collapsed="false">
      <c r="A9" s="47" t="s">
        <v>65</v>
      </c>
      <c r="B9" s="40" t="n">
        <f aca="false">'Cierre 2026'!N12</f>
        <v>1065400000</v>
      </c>
      <c r="C9" s="40" t="n">
        <f aca="false">'Presupuesto 2027'!O12</f>
        <v>1150128000</v>
      </c>
      <c r="D9" s="41" t="n">
        <f aca="false">IFERROR(C9/B9-1,0)</f>
        <v>0.079526938239159</v>
      </c>
    </row>
    <row r="10" customFormat="false" ht="15" hidden="false" customHeight="false" outlineLevel="0" collapsed="false">
      <c r="A10" s="47" t="s">
        <v>67</v>
      </c>
      <c r="B10" s="40" t="n">
        <f aca="false">'Cierre 2026'!N14</f>
        <v>455700000</v>
      </c>
      <c r="C10" s="40" t="n">
        <f aca="false">'Presupuesto 2027'!O14</f>
        <v>491652000</v>
      </c>
      <c r="D10" s="41" t="n">
        <f aca="false">IFERROR(C10/B10-1,0)</f>
        <v>0.07889400921659</v>
      </c>
    </row>
    <row r="11" customFormat="false" ht="15" hidden="false" customHeight="false" outlineLevel="0" collapsed="false">
      <c r="A11" s="33" t="s">
        <v>68</v>
      </c>
      <c r="B11" s="48" t="n">
        <f aca="false">'Cierre 2026'!N15</f>
        <v>0.42772667542707</v>
      </c>
      <c r="C11" s="48" t="n">
        <f aca="false">'Presupuesto 2027'!O15</f>
        <v>0.427475898334794</v>
      </c>
      <c r="D11" s="41" t="n">
        <f aca="false">C11-B11</f>
        <v>-0.000250777092275611</v>
      </c>
    </row>
    <row r="12" customFormat="false" ht="15" hidden="false" customHeight="false" outlineLevel="0" collapsed="false">
      <c r="A12" s="47" t="s">
        <v>78</v>
      </c>
      <c r="B12" s="40" t="n">
        <f aca="false">'Cierre 2026'!N25</f>
        <v>339600000</v>
      </c>
      <c r="C12" s="40" t="n">
        <f aca="false">'Presupuesto 2027'!O25</f>
        <v>358227000</v>
      </c>
      <c r="D12" s="41" t="n">
        <f aca="false">IFERROR(C12/B12-1,0)</f>
        <v>0.0548498233215549</v>
      </c>
    </row>
    <row r="13" customFormat="false" ht="15" hidden="false" customHeight="false" outlineLevel="0" collapsed="false">
      <c r="A13" s="47" t="s">
        <v>79</v>
      </c>
      <c r="B13" s="40" t="n">
        <f aca="false">'Cierre 2026'!N26</f>
        <v>116100000</v>
      </c>
      <c r="C13" s="40" t="n">
        <f aca="false">'Presupuesto 2027'!O26</f>
        <v>133425000</v>
      </c>
      <c r="D13" s="41" t="n">
        <f aca="false">IFERROR(C13/B13-1,0)</f>
        <v>0.14922480620155</v>
      </c>
    </row>
    <row r="14" customFormat="false" ht="15" hidden="false" customHeight="false" outlineLevel="0" collapsed="false">
      <c r="A14" s="47" t="s">
        <v>83</v>
      </c>
      <c r="B14" s="40" t="n">
        <f aca="false">'Cierre 2026'!N30</f>
        <v>66755000</v>
      </c>
      <c r="C14" s="40" t="n">
        <f aca="false">'Presupuesto 2027'!O30</f>
        <v>78016250</v>
      </c>
      <c r="D14" s="41" t="n">
        <f aca="false">IFERROR(C14/B14-1,0)</f>
        <v>0.168695228821811</v>
      </c>
    </row>
    <row r="15" customFormat="false" ht="15" hidden="false" customHeight="false" outlineLevel="0" collapsed="false">
      <c r="A15" s="33" t="s">
        <v>84</v>
      </c>
      <c r="B15" s="48" t="n">
        <f aca="false">'Cierre 2026'!N31</f>
        <v>0.0626572179463112</v>
      </c>
      <c r="C15" s="48" t="n">
        <f aca="false">'Presupuesto 2027'!O31</f>
        <v>0.0678326673205069</v>
      </c>
      <c r="D15" s="41" t="n">
        <f aca="false">C15-B15</f>
        <v>0.00517544937419569</v>
      </c>
    </row>
    <row r="17" customFormat="false" ht="15" hidden="false" customHeight="false" outlineLevel="0" collapsed="false">
      <c r="A17" s="14" t="s">
        <v>104</v>
      </c>
    </row>
    <row r="20" customFormat="false" ht="15" hidden="false" customHeight="false" outlineLevel="0" collapsed="false">
      <c r="A20" s="5" t="s">
        <v>105</v>
      </c>
    </row>
    <row r="21" customFormat="false" ht="15" hidden="false" customHeight="false" outlineLevel="0" collapsed="false">
      <c r="A21" s="16" t="s">
        <v>106</v>
      </c>
      <c r="B21" s="16" t="s">
        <v>107</v>
      </c>
      <c r="C21" s="16" t="s">
        <v>108</v>
      </c>
    </row>
    <row r="22" customFormat="false" ht="15" hidden="false" customHeight="false" outlineLevel="0" collapsed="false">
      <c r="A22" s="9" t="s">
        <v>109</v>
      </c>
      <c r="B22" s="49" t="n">
        <f aca="false">'Cierre 2026'!B12</f>
        <v>81200000</v>
      </c>
      <c r="C22" s="49" t="n">
        <f aca="false">'Presupuesto 2027'!C12</f>
        <v>87654000</v>
      </c>
    </row>
    <row r="23" customFormat="false" ht="15" hidden="false" customHeight="false" outlineLevel="0" collapsed="false">
      <c r="A23" s="9" t="s">
        <v>110</v>
      </c>
      <c r="B23" s="49" t="n">
        <f aca="false">'Cierre 2026'!C12</f>
        <v>83100000</v>
      </c>
      <c r="C23" s="49" t="n">
        <f aca="false">'Presupuesto 2027'!D12</f>
        <v>89709500</v>
      </c>
    </row>
    <row r="24" customFormat="false" ht="15" hidden="false" customHeight="false" outlineLevel="0" collapsed="false">
      <c r="A24" s="9" t="s">
        <v>111</v>
      </c>
      <c r="B24" s="49" t="n">
        <f aca="false">'Cierre 2026'!D12</f>
        <v>79300000</v>
      </c>
      <c r="C24" s="49" t="n">
        <f aca="false">'Presupuesto 2027'!E12</f>
        <v>85598500</v>
      </c>
    </row>
    <row r="25" customFormat="false" ht="15" hidden="false" customHeight="false" outlineLevel="0" collapsed="false">
      <c r="A25" s="9" t="s">
        <v>112</v>
      </c>
      <c r="B25" s="49" t="n">
        <f aca="false">'Cierre 2026'!E12</f>
        <v>86200000</v>
      </c>
      <c r="C25" s="49" t="n">
        <f aca="false">'Presupuesto 2027'!F12</f>
        <v>93054000</v>
      </c>
    </row>
    <row r="26" customFormat="false" ht="15" hidden="false" customHeight="false" outlineLevel="0" collapsed="false">
      <c r="A26" s="9" t="s">
        <v>113</v>
      </c>
      <c r="B26" s="49" t="n">
        <f aca="false">'Cierre 2026'!F12</f>
        <v>89000000</v>
      </c>
      <c r="C26" s="49" t="n">
        <f aca="false">'Presupuesto 2027'!G12</f>
        <v>96085000</v>
      </c>
    </row>
    <row r="27" customFormat="false" ht="15" hidden="false" customHeight="false" outlineLevel="0" collapsed="false">
      <c r="A27" s="9" t="s">
        <v>114</v>
      </c>
      <c r="B27" s="49" t="n">
        <f aca="false">'Cierre 2026'!G12</f>
        <v>91400000</v>
      </c>
      <c r="C27" s="49" t="n">
        <f aca="false">'Presupuesto 2027'!H12</f>
        <v>98663000</v>
      </c>
    </row>
    <row r="28" customFormat="false" ht="15" hidden="false" customHeight="false" outlineLevel="0" collapsed="false">
      <c r="A28" s="9" t="s">
        <v>115</v>
      </c>
      <c r="B28" s="49" t="n">
        <f aca="false">'Cierre 2026'!H12</f>
        <v>88200000</v>
      </c>
      <c r="C28" s="49" t="n">
        <f aca="false">'Presupuesto 2027'!I12</f>
        <v>95214000</v>
      </c>
    </row>
    <row r="29" customFormat="false" ht="15" hidden="false" customHeight="false" outlineLevel="0" collapsed="false">
      <c r="A29" s="9" t="s">
        <v>116</v>
      </c>
      <c r="B29" s="49" t="n">
        <f aca="false">'Cierre 2026'!I12</f>
        <v>93100000</v>
      </c>
      <c r="C29" s="49" t="n">
        <f aca="false">'Presupuesto 2027'!J12</f>
        <v>100509500</v>
      </c>
    </row>
    <row r="30" customFormat="false" ht="15" hidden="false" customHeight="false" outlineLevel="0" collapsed="false">
      <c r="A30" s="9" t="s">
        <v>117</v>
      </c>
      <c r="B30" s="49" t="n">
        <f aca="false">'Cierre 2026'!J12</f>
        <v>96300000</v>
      </c>
      <c r="C30" s="49" t="n">
        <f aca="false">'Presupuesto 2027'!K12</f>
        <v>103958500</v>
      </c>
    </row>
    <row r="31" customFormat="false" ht="15" hidden="false" customHeight="false" outlineLevel="0" collapsed="false">
      <c r="A31" s="9" t="s">
        <v>118</v>
      </c>
      <c r="B31" s="49" t="n">
        <f aca="false">'Cierre 2026'!K12</f>
        <v>92533333.3333333</v>
      </c>
      <c r="C31" s="49" t="n">
        <f aca="false">'Presupuesto 2027'!L12</f>
        <v>99894000</v>
      </c>
    </row>
    <row r="32" customFormat="false" ht="15" hidden="false" customHeight="false" outlineLevel="0" collapsed="false">
      <c r="A32" s="9" t="s">
        <v>119</v>
      </c>
      <c r="B32" s="49" t="n">
        <f aca="false">'Cierre 2026'!L12</f>
        <v>92533333.3333333</v>
      </c>
      <c r="C32" s="49" t="n">
        <f aca="false">'Presupuesto 2027'!M12</f>
        <v>99894000</v>
      </c>
    </row>
    <row r="33" customFormat="false" ht="15" hidden="false" customHeight="false" outlineLevel="0" collapsed="false">
      <c r="A33" s="9" t="s">
        <v>120</v>
      </c>
      <c r="B33" s="49" t="n">
        <f aca="false">'Cierre 2026'!M12</f>
        <v>92533333.3333333</v>
      </c>
      <c r="C33" s="49" t="n">
        <f aca="false">'Presupuesto 2027'!N12</f>
        <v>99894000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&amp;LData Edge · Plantilla gratuita&amp;RPágina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2026-10-05T14:09:08Z</dcterms:created>
  <dc:creator>Data Edge</dc:creator>
  <dc:description/>
  <dc:language>en-US</dc:language>
  <cp:lastModifiedBy/>
  <dcterms:modified xsi:type="dcterms:W3CDTF">2026-10-05T09:09:10Z</dcterms:modified>
  <cp:revision>1</cp:revision>
  <dc:subject/>
  <dc:title>Presupuesto 2027 + Proyección de cierre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