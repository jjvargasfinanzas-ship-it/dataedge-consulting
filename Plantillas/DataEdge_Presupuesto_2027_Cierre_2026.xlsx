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8fe334be1f07094/Documentos/Escritorio/DataEdge/Plantillas/"/>
    </mc:Choice>
  </mc:AlternateContent>
  <xr:revisionPtr revIDLastSave="1" documentId="11_A84A8FB1988C798F78B5440F55E638CA72628486" xr6:coauthVersionLast="47" xr6:coauthVersionMax="47" xr10:uidLastSave="{E74F5BBB-B512-46D6-83BE-5BBAAA5D526F}"/>
  <bookViews>
    <workbookView xWindow="-120" yWindow="-120" windowWidth="20640" windowHeight="11040" tabRatio="769" activeTab="5" xr2:uid="{00000000-000D-0000-FFFF-FFFF00000000}"/>
  </bookViews>
  <sheets>
    <sheet name="Inicio" sheetId="1" r:id="rId1"/>
    <sheet name="Dashboard" sheetId="2" r:id="rId2"/>
    <sheet name="Supuestos" sheetId="3" r:id="rId3"/>
    <sheet name="Cierre 2026" sheetId="4" r:id="rId4"/>
    <sheet name="Presupuesto 2027" sheetId="5" r:id="rId5"/>
    <sheet name="Versión PRO" sheetId="6" r:id="rId6"/>
  </sheets>
  <definedNames>
    <definedName name="_xlnm.Print_Area" localSheetId="1">Dashboard!$A$1:$N$46</definedName>
    <definedName name="Crec_Ventas">Supuestos!$C$11</definedName>
    <definedName name="Empresa">Supuestos!$C$9</definedName>
    <definedName name="Incr_Salarial">Supuestos!$C$13</definedName>
    <definedName name="Inflacion">Supuestos!$C$12</definedName>
    <definedName name="Moneda">Supuestos!$C$10</definedName>
    <definedName name="Tasa_Renta">Supuestos!$C$14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7" i="5" l="1"/>
  <c r="J27" i="5"/>
  <c r="I27" i="5"/>
  <c r="H27" i="5"/>
  <c r="G27" i="5"/>
  <c r="F27" i="5"/>
  <c r="E27" i="5"/>
  <c r="D27" i="5"/>
  <c r="C27" i="5"/>
  <c r="B24" i="5"/>
  <c r="K23" i="5"/>
  <c r="J23" i="5"/>
  <c r="I23" i="5"/>
  <c r="H23" i="5"/>
  <c r="G23" i="5"/>
  <c r="F23" i="5"/>
  <c r="E23" i="5"/>
  <c r="D23" i="5"/>
  <c r="C23" i="5"/>
  <c r="B22" i="5"/>
  <c r="B21" i="5"/>
  <c r="B20" i="5"/>
  <c r="B19" i="5"/>
  <c r="B18" i="5"/>
  <c r="B17" i="5"/>
  <c r="B11" i="5"/>
  <c r="B10" i="5"/>
  <c r="A6" i="5"/>
  <c r="M27" i="4"/>
  <c r="N27" i="5" s="1"/>
  <c r="L27" i="4"/>
  <c r="M27" i="5" s="1"/>
  <c r="K27" i="4"/>
  <c r="J25" i="4"/>
  <c r="I25" i="4"/>
  <c r="H25" i="4"/>
  <c r="G25" i="4"/>
  <c r="F25" i="4"/>
  <c r="E25" i="4"/>
  <c r="D25" i="4"/>
  <c r="C25" i="4"/>
  <c r="B25" i="4"/>
  <c r="M24" i="4"/>
  <c r="N24" i="5" s="1"/>
  <c r="L24" i="4"/>
  <c r="M24" i="5" s="1"/>
  <c r="K24" i="4"/>
  <c r="M23" i="4"/>
  <c r="N23" i="5" s="1"/>
  <c r="L23" i="4"/>
  <c r="M23" i="5" s="1"/>
  <c r="K23" i="4"/>
  <c r="M22" i="4"/>
  <c r="N22" i="5" s="1"/>
  <c r="L22" i="4"/>
  <c r="M22" i="5" s="1"/>
  <c r="K22" i="4"/>
  <c r="M21" i="4"/>
  <c r="N21" i="5" s="1"/>
  <c r="L21" i="4"/>
  <c r="M21" i="5" s="1"/>
  <c r="K21" i="4"/>
  <c r="M20" i="4"/>
  <c r="N20" i="5" s="1"/>
  <c r="L20" i="4"/>
  <c r="M20" i="5" s="1"/>
  <c r="K20" i="4"/>
  <c r="M19" i="4"/>
  <c r="N19" i="5" s="1"/>
  <c r="L19" i="4"/>
  <c r="M19" i="5" s="1"/>
  <c r="K19" i="4"/>
  <c r="M18" i="4"/>
  <c r="N18" i="5" s="1"/>
  <c r="L18" i="4"/>
  <c r="M18" i="5" s="1"/>
  <c r="K18" i="4"/>
  <c r="M17" i="4"/>
  <c r="L17" i="4"/>
  <c r="K17" i="4"/>
  <c r="M13" i="4"/>
  <c r="L13" i="4"/>
  <c r="K13" i="4"/>
  <c r="N13" i="4" s="1"/>
  <c r="J12" i="4"/>
  <c r="J14" i="4" s="1"/>
  <c r="I12" i="4"/>
  <c r="I14" i="4" s="1"/>
  <c r="H12" i="4"/>
  <c r="H14" i="4" s="1"/>
  <c r="G12" i="4"/>
  <c r="G14" i="4" s="1"/>
  <c r="F12" i="4"/>
  <c r="F14" i="4" s="1"/>
  <c r="E12" i="4"/>
  <c r="E14" i="4" s="1"/>
  <c r="D12" i="4"/>
  <c r="D14" i="4" s="1"/>
  <c r="C12" i="4"/>
  <c r="C14" i="4" s="1"/>
  <c r="B12" i="4"/>
  <c r="M11" i="4"/>
  <c r="N11" i="5" s="1"/>
  <c r="L11" i="4"/>
  <c r="M11" i="5" s="1"/>
  <c r="K11" i="4"/>
  <c r="M10" i="4"/>
  <c r="L10" i="4"/>
  <c r="K10" i="4"/>
  <c r="A6" i="4"/>
  <c r="C69" i="2"/>
  <c r="C68" i="2"/>
  <c r="C67" i="2"/>
  <c r="C66" i="2"/>
  <c r="C65" i="2"/>
  <c r="C64" i="2"/>
  <c r="C63" i="2"/>
  <c r="C62" i="2"/>
  <c r="C61" i="2"/>
  <c r="A6" i="2"/>
  <c r="K24" i="5" l="1"/>
  <c r="F24" i="5"/>
  <c r="D24" i="5"/>
  <c r="E24" i="5"/>
  <c r="G24" i="5"/>
  <c r="C24" i="5"/>
  <c r="H24" i="5"/>
  <c r="J24" i="5"/>
  <c r="I24" i="5"/>
  <c r="E22" i="5"/>
  <c r="K22" i="5"/>
  <c r="I22" i="5"/>
  <c r="G22" i="5"/>
  <c r="C22" i="5"/>
  <c r="F22" i="5"/>
  <c r="J22" i="5"/>
  <c r="H22" i="5"/>
  <c r="D22" i="5"/>
  <c r="D21" i="5"/>
  <c r="H21" i="5"/>
  <c r="K21" i="5"/>
  <c r="G21" i="5"/>
  <c r="C21" i="5"/>
  <c r="F21" i="5"/>
  <c r="I21" i="5"/>
  <c r="J21" i="5"/>
  <c r="E21" i="5"/>
  <c r="G20" i="5"/>
  <c r="F20" i="5"/>
  <c r="I20" i="5"/>
  <c r="K20" i="5"/>
  <c r="C20" i="5"/>
  <c r="O20" i="5" s="1"/>
  <c r="H20" i="5"/>
  <c r="J20" i="5"/>
  <c r="E20" i="5"/>
  <c r="D20" i="5"/>
  <c r="D19" i="5"/>
  <c r="I19" i="5"/>
  <c r="G19" i="5"/>
  <c r="E19" i="5"/>
  <c r="C19" i="5"/>
  <c r="J19" i="5"/>
  <c r="K19" i="5"/>
  <c r="H19" i="5"/>
  <c r="F19" i="5"/>
  <c r="F18" i="5"/>
  <c r="J18" i="5"/>
  <c r="K18" i="5"/>
  <c r="D18" i="5"/>
  <c r="H18" i="5"/>
  <c r="C18" i="5"/>
  <c r="G18" i="5"/>
  <c r="I18" i="5"/>
  <c r="E18" i="5"/>
  <c r="C17" i="5"/>
  <c r="H17" i="5"/>
  <c r="H25" i="5" s="1"/>
  <c r="I17" i="5"/>
  <c r="I25" i="5" s="1"/>
  <c r="K17" i="5"/>
  <c r="K25" i="5" s="1"/>
  <c r="G17" i="5"/>
  <c r="G25" i="5" s="1"/>
  <c r="D17" i="5"/>
  <c r="D25" i="5" s="1"/>
  <c r="E17" i="5"/>
  <c r="E25" i="5" s="1"/>
  <c r="J17" i="5"/>
  <c r="J25" i="5" s="1"/>
  <c r="F17" i="5"/>
  <c r="F25" i="5" s="1"/>
  <c r="C11" i="5"/>
  <c r="O11" i="5" s="1"/>
  <c r="Q11" i="5" s="1"/>
  <c r="H11" i="5"/>
  <c r="E11" i="5"/>
  <c r="I11" i="5"/>
  <c r="F11" i="5"/>
  <c r="J11" i="5"/>
  <c r="D11" i="5"/>
  <c r="K11" i="5"/>
  <c r="G11" i="5"/>
  <c r="G10" i="5"/>
  <c r="E10" i="5"/>
  <c r="I10" i="5"/>
  <c r="D10" i="5"/>
  <c r="H10" i="5"/>
  <c r="C10" i="5"/>
  <c r="J10" i="5"/>
  <c r="K10" i="5"/>
  <c r="F10" i="5"/>
  <c r="L27" i="5"/>
  <c r="O27" i="5" s="1"/>
  <c r="N27" i="4"/>
  <c r="P27" i="5" s="1"/>
  <c r="N24" i="4"/>
  <c r="P24" i="5" s="1"/>
  <c r="L24" i="5"/>
  <c r="N23" i="4"/>
  <c r="P23" i="5" s="1"/>
  <c r="L23" i="5"/>
  <c r="O23" i="5" s="1"/>
  <c r="N22" i="4"/>
  <c r="P22" i="5" s="1"/>
  <c r="L22" i="5"/>
  <c r="L21" i="5"/>
  <c r="N21" i="4"/>
  <c r="P21" i="5" s="1"/>
  <c r="L20" i="5"/>
  <c r="N20" i="4"/>
  <c r="P20" i="5" s="1"/>
  <c r="L19" i="5"/>
  <c r="N19" i="4"/>
  <c r="P19" i="5" s="1"/>
  <c r="L18" i="5"/>
  <c r="N18" i="4"/>
  <c r="P18" i="5" s="1"/>
  <c r="M25" i="4"/>
  <c r="N17" i="5"/>
  <c r="N25" i="5" s="1"/>
  <c r="M17" i="5"/>
  <c r="M25" i="5" s="1"/>
  <c r="L25" i="4"/>
  <c r="L17" i="5"/>
  <c r="K25" i="4"/>
  <c r="N25" i="4" s="1"/>
  <c r="N17" i="4"/>
  <c r="P17" i="5" s="1"/>
  <c r="B13" i="5"/>
  <c r="P13" i="5"/>
  <c r="J15" i="4"/>
  <c r="J26" i="4"/>
  <c r="J28" i="4" s="1"/>
  <c r="I15" i="4"/>
  <c r="I26" i="4"/>
  <c r="I28" i="4" s="1"/>
  <c r="H26" i="4"/>
  <c r="H28" i="4" s="1"/>
  <c r="H15" i="4"/>
  <c r="G15" i="4"/>
  <c r="G26" i="4"/>
  <c r="G28" i="4" s="1"/>
  <c r="F15" i="4"/>
  <c r="F26" i="4"/>
  <c r="F28" i="4" s="1"/>
  <c r="E15" i="4"/>
  <c r="E26" i="4"/>
  <c r="E28" i="4" s="1"/>
  <c r="D15" i="4"/>
  <c r="D26" i="4"/>
  <c r="D28" i="4" s="1"/>
  <c r="C15" i="4"/>
  <c r="C26" i="4"/>
  <c r="C28" i="4" s="1"/>
  <c r="B14" i="4"/>
  <c r="L11" i="5"/>
  <c r="N11" i="4"/>
  <c r="P11" i="5" s="1"/>
  <c r="N10" i="5"/>
  <c r="M12" i="4"/>
  <c r="M10" i="5"/>
  <c r="L12" i="4"/>
  <c r="L10" i="5"/>
  <c r="K12" i="4"/>
  <c r="N12" i="4" s="1"/>
  <c r="N10" i="4"/>
  <c r="P10" i="5" s="1"/>
  <c r="C79" i="2" l="1"/>
  <c r="Q20" i="5"/>
  <c r="C25" i="5"/>
  <c r="O17" i="5"/>
  <c r="G13" i="5"/>
  <c r="G12" i="5"/>
  <c r="E12" i="5"/>
  <c r="E13" i="5"/>
  <c r="I13" i="5"/>
  <c r="I12" i="5"/>
  <c r="D12" i="5"/>
  <c r="D13" i="5"/>
  <c r="H12" i="5"/>
  <c r="H13" i="5"/>
  <c r="C12" i="5"/>
  <c r="O10" i="5"/>
  <c r="Q10" i="5" s="1"/>
  <c r="C13" i="5"/>
  <c r="J12" i="5"/>
  <c r="J13" i="5"/>
  <c r="K12" i="5"/>
  <c r="K13" i="5"/>
  <c r="F12" i="5"/>
  <c r="F13" i="5"/>
  <c r="C82" i="2"/>
  <c r="Q23" i="5"/>
  <c r="P25" i="5"/>
  <c r="D17" i="2"/>
  <c r="J29" i="4"/>
  <c r="J30" i="4"/>
  <c r="J31" i="4" s="1"/>
  <c r="I29" i="4"/>
  <c r="I30" i="4"/>
  <c r="I31" i="4" s="1"/>
  <c r="H29" i="4"/>
  <c r="H30" i="4"/>
  <c r="H31" i="4" s="1"/>
  <c r="G29" i="4"/>
  <c r="G30" i="4" s="1"/>
  <c r="G31" i="4" s="1"/>
  <c r="F29" i="4"/>
  <c r="F30" i="4"/>
  <c r="F31" i="4" s="1"/>
  <c r="E29" i="4"/>
  <c r="E30" i="4" s="1"/>
  <c r="E31" i="4" s="1"/>
  <c r="D29" i="4"/>
  <c r="D30" i="4" s="1"/>
  <c r="D31" i="4" s="1"/>
  <c r="C29" i="4"/>
  <c r="C30" i="4"/>
  <c r="C31" i="4" s="1"/>
  <c r="P12" i="5"/>
  <c r="D14" i="2"/>
  <c r="B15" i="4"/>
  <c r="B26" i="4"/>
  <c r="N12" i="5"/>
  <c r="N13" i="5"/>
  <c r="C72" i="2"/>
  <c r="M14" i="4"/>
  <c r="M13" i="5"/>
  <c r="M12" i="5"/>
  <c r="L14" i="4"/>
  <c r="C71" i="2"/>
  <c r="L13" i="5"/>
  <c r="L12" i="5"/>
  <c r="K14" i="4"/>
  <c r="N14" i="4" s="1"/>
  <c r="C70" i="2"/>
  <c r="Q27" i="5"/>
  <c r="L25" i="5"/>
  <c r="O18" i="5"/>
  <c r="O24" i="5"/>
  <c r="O22" i="5"/>
  <c r="O21" i="5"/>
  <c r="O19" i="5"/>
  <c r="C76" i="2" l="1"/>
  <c r="Q17" i="5"/>
  <c r="D65" i="2"/>
  <c r="G14" i="5"/>
  <c r="D63" i="2"/>
  <c r="E14" i="5"/>
  <c r="I14" i="5"/>
  <c r="D67" i="2"/>
  <c r="D62" i="2"/>
  <c r="D14" i="5"/>
  <c r="D66" i="2"/>
  <c r="H14" i="5"/>
  <c r="C14" i="5"/>
  <c r="O12" i="5"/>
  <c r="D61" i="2"/>
  <c r="D68" i="2"/>
  <c r="J14" i="5"/>
  <c r="K14" i="5"/>
  <c r="D69" i="2"/>
  <c r="F14" i="5"/>
  <c r="D64" i="2"/>
  <c r="B28" i="4"/>
  <c r="P14" i="5"/>
  <c r="D15" i="2"/>
  <c r="N15" i="4"/>
  <c r="N14" i="5"/>
  <c r="D72" i="2"/>
  <c r="M15" i="4"/>
  <c r="M26" i="4"/>
  <c r="M28" i="4" s="1"/>
  <c r="D71" i="2"/>
  <c r="M14" i="5"/>
  <c r="L26" i="4"/>
  <c r="L28" i="4" s="1"/>
  <c r="L15" i="4"/>
  <c r="L14" i="5"/>
  <c r="D70" i="2"/>
  <c r="K15" i="4"/>
  <c r="K26" i="4"/>
  <c r="C77" i="2"/>
  <c r="Q18" i="5"/>
  <c r="C83" i="2"/>
  <c r="Q24" i="5"/>
  <c r="C81" i="2"/>
  <c r="Q22" i="5"/>
  <c r="C80" i="2"/>
  <c r="Q21" i="5"/>
  <c r="C78" i="2"/>
  <c r="Q19" i="5"/>
  <c r="O25" i="5"/>
  <c r="O13" i="5"/>
  <c r="Q13" i="5" s="1"/>
  <c r="G26" i="5" l="1"/>
  <c r="G28" i="5" s="1"/>
  <c r="G15" i="5"/>
  <c r="E15" i="5"/>
  <c r="E26" i="5"/>
  <c r="E28" i="5" s="1"/>
  <c r="I15" i="5"/>
  <c r="I26" i="5"/>
  <c r="I28" i="5" s="1"/>
  <c r="D26" i="5"/>
  <c r="D28" i="5" s="1"/>
  <c r="D15" i="5"/>
  <c r="H15" i="5"/>
  <c r="H26" i="5"/>
  <c r="H28" i="5" s="1"/>
  <c r="C26" i="5"/>
  <c r="C15" i="5"/>
  <c r="O14" i="5"/>
  <c r="Q12" i="5"/>
  <c r="B9" i="2"/>
  <c r="D10" i="2"/>
  <c r="E14" i="2"/>
  <c r="F14" i="2" s="1"/>
  <c r="J26" i="5"/>
  <c r="J28" i="5" s="1"/>
  <c r="J15" i="5"/>
  <c r="K26" i="5"/>
  <c r="K28" i="5" s="1"/>
  <c r="K15" i="5"/>
  <c r="F15" i="5"/>
  <c r="F26" i="5"/>
  <c r="F28" i="5" s="1"/>
  <c r="B29" i="4"/>
  <c r="B30" i="4" s="1"/>
  <c r="N28" i="4"/>
  <c r="P28" i="5" s="1"/>
  <c r="P15" i="5"/>
  <c r="D16" i="2"/>
  <c r="N26" i="5"/>
  <c r="N28" i="5" s="1"/>
  <c r="N15" i="5"/>
  <c r="M29" i="4"/>
  <c r="M30" i="4" s="1"/>
  <c r="M31" i="4" s="1"/>
  <c r="M26" i="5"/>
  <c r="M28" i="5" s="1"/>
  <c r="M15" i="5"/>
  <c r="L29" i="4"/>
  <c r="L30" i="4" s="1"/>
  <c r="L31" i="4" s="1"/>
  <c r="L15" i="5"/>
  <c r="L26" i="5"/>
  <c r="L28" i="5" s="1"/>
  <c r="E17" i="2"/>
  <c r="F17" i="2" s="1"/>
  <c r="M10" i="2"/>
  <c r="K9" i="2"/>
  <c r="Q25" i="5"/>
  <c r="K28" i="4"/>
  <c r="N26" i="4"/>
  <c r="G29" i="5" l="1"/>
  <c r="G30" i="5"/>
  <c r="E29" i="5"/>
  <c r="E30" i="5"/>
  <c r="I29" i="5"/>
  <c r="I30" i="5" s="1"/>
  <c r="D29" i="5"/>
  <c r="D30" i="5"/>
  <c r="H29" i="5"/>
  <c r="H30" i="5"/>
  <c r="O26" i="5"/>
  <c r="C28" i="5"/>
  <c r="O15" i="5"/>
  <c r="Q14" i="5"/>
  <c r="E15" i="2"/>
  <c r="F15" i="2" s="1"/>
  <c r="J29" i="5"/>
  <c r="J30" i="5"/>
  <c r="K29" i="5"/>
  <c r="K30" i="5"/>
  <c r="F29" i="5"/>
  <c r="F30" i="5"/>
  <c r="B31" i="4"/>
  <c r="N29" i="5"/>
  <c r="N30" i="5" s="1"/>
  <c r="M29" i="5"/>
  <c r="M30" i="5" s="1"/>
  <c r="L29" i="5"/>
  <c r="L30" i="5" s="1"/>
  <c r="K30" i="4"/>
  <c r="K29" i="4"/>
  <c r="N29" i="4" s="1"/>
  <c r="P29" i="5" s="1"/>
  <c r="D18" i="2"/>
  <c r="P26" i="5"/>
  <c r="G31" i="5" l="1"/>
  <c r="E65" i="2"/>
  <c r="E31" i="5"/>
  <c r="E63" i="2"/>
  <c r="E67" i="2"/>
  <c r="I31" i="5"/>
  <c r="E62" i="2"/>
  <c r="D31" i="5"/>
  <c r="E66" i="2"/>
  <c r="H31" i="5"/>
  <c r="Q26" i="5"/>
  <c r="E18" i="2"/>
  <c r="F18" i="2" s="1"/>
  <c r="O28" i="5"/>
  <c r="Q28" i="5" s="1"/>
  <c r="C29" i="5"/>
  <c r="E16" i="2"/>
  <c r="F16" i="2" s="1"/>
  <c r="Q15" i="5"/>
  <c r="E68" i="2"/>
  <c r="J31" i="5"/>
  <c r="K31" i="5"/>
  <c r="E69" i="2"/>
  <c r="E64" i="2"/>
  <c r="F31" i="5"/>
  <c r="E72" i="2"/>
  <c r="N31" i="5"/>
  <c r="E71" i="2"/>
  <c r="M31" i="5"/>
  <c r="E70" i="2"/>
  <c r="L31" i="5"/>
  <c r="K31" i="4"/>
  <c r="N30" i="4"/>
  <c r="N31" i="4" l="1"/>
  <c r="D19" i="2"/>
  <c r="P30" i="5"/>
  <c r="O29" i="5"/>
  <c r="Q29" i="5" s="1"/>
  <c r="C30" i="5"/>
  <c r="D20" i="2" l="1"/>
  <c r="P31" i="5"/>
  <c r="J10" i="2" s="1"/>
  <c r="E61" i="2"/>
  <c r="O30" i="5"/>
  <c r="C31" i="5"/>
  <c r="O31" i="5" l="1"/>
  <c r="E19" i="2"/>
  <c r="F19" i="2" s="1"/>
  <c r="E9" i="2"/>
  <c r="G10" i="2"/>
  <c r="Q30" i="5"/>
  <c r="H9" i="2" l="1"/>
  <c r="Q31" i="5"/>
  <c r="E20" i="2"/>
  <c r="F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8" authorId="0" shapeId="0" xr:uid="{00000000-0006-0000-0300-000002000000}">
      <text>
        <r>
          <rPr>
            <sz val="10"/>
            <rFont val="Arial"/>
            <family val="2"/>
          </rPr>
          <t>Oct–Dic = promedio de Jul–Sep × (1 + Ajuste Oct-Dic).</t>
        </r>
      </text>
    </comment>
    <comment ref="O8" authorId="0" shapeId="0" xr:uid="{00000000-0006-0000-0300-000003000000}">
      <text>
        <r>
          <rPr>
            <sz val="10"/>
            <rFont val="Arial"/>
            <family val="2"/>
          </rPr>
          <t>Ajuste sobre el promedio Jul–Sep para proyectar Oct–Dic. 0% = mismo promedio. Ej.: 10% si esperas un cierre de año más fuerte.</t>
        </r>
      </text>
    </comment>
    <comment ref="A29" authorId="0" shapeId="0" xr:uid="{00000000-0006-0000-0300-000001000000}">
      <text>
        <r>
          <rPr>
            <sz val="10"/>
            <rFont val="Arial"/>
            <family val="2"/>
          </rPr>
          <t>Estimación mensual: utilidad antes de impuestos × tarifa de renta (hoja Supuestos). No incluye beneficios, descuentos ni rentas exentas.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8" authorId="0" shapeId="0" xr:uid="{00000000-0006-0000-0400-000001000000}">
      <text>
        <r>
          <rPr>
            <sz val="10"/>
            <rFont val="Arial"/>
            <family val="2"/>
          </rPr>
          <t>% aplicado al mismo mes de 2026. Viene de Supuestos (texto verde); puedes escribir otro valor en cualquier línea.</t>
        </r>
      </text>
    </comment>
    <comment ref="B13" authorId="0" shapeId="0" xr:uid="{00000000-0006-0000-0400-000002000000}">
      <text>
        <r>
          <rPr>
            <sz val="10"/>
            <rFont val="Arial"/>
            <family val="2"/>
          </rPr>
          <t>Costo de ventas como % de las ventas: se mantiene el porcentaje del cierre 2026.</t>
        </r>
      </text>
    </comment>
    <comment ref="Q15" authorId="0" shapeId="0" xr:uid="{00000000-0006-0000-0400-000003000000}">
      <text>
        <r>
          <rPr>
            <sz val="10"/>
            <rFont val="Arial"/>
            <family val="2"/>
          </rPr>
          <t>Diferencia en puntos porcentuales.</t>
        </r>
      </text>
    </comment>
    <comment ref="Q31" authorId="0" shapeId="0" xr:uid="{00000000-0006-0000-0400-000004000000}">
      <text>
        <r>
          <rPr>
            <sz val="10"/>
            <rFont val="Arial"/>
            <family val="2"/>
          </rPr>
          <t>Diferencia en puntos porcentuales.</t>
        </r>
      </text>
    </comment>
  </commentList>
</comments>
</file>

<file path=xl/sharedStrings.xml><?xml version="1.0" encoding="utf-8"?>
<sst xmlns="http://schemas.openxmlformats.org/spreadsheetml/2006/main" count="231" uniqueCount="160">
  <si>
    <t>Presupuesto 2027 + Proyección de cierre 2026</t>
  </si>
  <si>
    <t>Plantilla gratuita de Data Edge · Estado de resultados mensual</t>
  </si>
  <si>
    <t>★ ¿Lo quieres a la medida de tu empresa? Ver versión PRO →</t>
  </si>
  <si>
    <t>Cómo usar esta plantilla</t>
  </si>
  <si>
    <t>1. Supuestos</t>
  </si>
  <si>
    <t>Escribe el nombre de tu empresa y ajusta los porcentajes de crecimiento, inflación, incremento salarial e impuesto.</t>
  </si>
  <si>
    <t>2. Cierre 2026</t>
  </si>
  <si>
    <t>Reemplaza los datos de ejemplo de enero a septiembre por las cifras reales de tu empresa. Octubre a diciembre se proyectan solos con el promedio de julio a septiembre.</t>
  </si>
  <si>
    <t>3. Ajuste de proyección</t>
  </si>
  <si>
    <t>Si esperas un último trimestre más fuerte o más débil, cambia la columna 'Ajuste Oct-Dic' de cada línea (ej. 10% o -5%).</t>
  </si>
  <si>
    <t>4. Presupuesto 2027</t>
  </si>
  <si>
    <t>Se calcula automáticamente mes a mes, respetando la estacionalidad de 2026. Puedes cambiar el % de cada línea en la columna 'Incremento %'.</t>
  </si>
  <si>
    <t>5. Dashboard</t>
  </si>
  <si>
    <t>Mira de un vistazo ingresos, utilidad, márgenes y la comparación cierre 2026 vs. presupuesto 2027.</t>
  </si>
  <si>
    <t>Convención de colores</t>
  </si>
  <si>
    <t>1.250.000</t>
  </si>
  <si>
    <t>Celda para diligenciar (texto azul, fondo amarillo claro).</t>
  </si>
  <si>
    <t>Fórmula: no la modifiques.</t>
  </si>
  <si>
    <t>8,0%</t>
  </si>
  <si>
    <t>Toma el valor de la hoja Supuestos: puedes sobrescribirlo si lo necesitas.</t>
  </si>
  <si>
    <t>Los datos que trae la plantilla son de ejemplo: reemplázalos por los de tu empresa.</t>
  </si>
  <si>
    <t>¿Necesitas un modelo a la medida? Conoce la versión PRO</t>
  </si>
  <si>
    <t>Diseñamos presupuestos y modelos financieros personalizados para tu empresa, con confidencialidad de tu información.</t>
  </si>
  <si>
    <t>Escríbenos: info@DataEdgeConsulting.onmicrosoft.com · dataedge-consulting.vercel.app</t>
  </si>
  <si>
    <t>Herramienta de apoyo para planeación financiera. No reemplaza la asesoría contable o tributaria de tu empresa.</t>
  </si>
  <si>
    <t>© 2026 Data Edge. Uso permitido dentro de tu empresa; prohibida su reventa o redistribución.</t>
  </si>
  <si>
    <t>Dashboard: presupuesto 2027 vs. cierre 2026</t>
  </si>
  <si>
    <t>INGRESOS 2027</t>
  </si>
  <si>
    <t>UTILIDAD NETA 2027</t>
  </si>
  <si>
    <t>MARGEN NETO 2027</t>
  </si>
  <si>
    <t>GASTOS OPERACIONALES 2027</t>
  </si>
  <si>
    <t>Var. vs. 2026</t>
  </si>
  <si>
    <t>Margen 2026</t>
  </si>
  <si>
    <t>Estado de resultados resumido</t>
  </si>
  <si>
    <t>Concepto</t>
  </si>
  <si>
    <t>Cierre 2026</t>
  </si>
  <si>
    <t>Presup. 2027</t>
  </si>
  <si>
    <t>Variación</t>
  </si>
  <si>
    <t>Total ingresos</t>
  </si>
  <si>
    <t>Utilidad bruta</t>
  </si>
  <si>
    <t>Margen bruto %</t>
  </si>
  <si>
    <t>Gastos operacionales</t>
  </si>
  <si>
    <t>Utilidad operacional</t>
  </si>
  <si>
    <t>Utilidad neta</t>
  </si>
  <si>
    <t>Margen neto %</t>
  </si>
  <si>
    <t>Variación de márgenes: diferencia en puntos porcentuales.</t>
  </si>
  <si>
    <t>Datos para las gráficas (no modificar)</t>
  </si>
  <si>
    <t>Mes</t>
  </si>
  <si>
    <t>Ingresos 2026</t>
  </si>
  <si>
    <t>Ingresos 2027</t>
  </si>
  <si>
    <t>Utilidad neta 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</si>
  <si>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</si>
  <si>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</si>
  <si>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</si>
  <si>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</si>
  <si>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</si>
  <si>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</si>
  <si>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</si>
  <si>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</si>
  <si>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</si>
  <si>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</si>
  <si>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</si>
  <si>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</si>
  <si>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Gasto operacional</t>
  </si>
  <si>
    <t>Nómina y prestaciones</t>
  </si>
  <si>
    <t>Arriendos</t>
  </si>
  <si>
    <t>Servicios públicos</t>
  </si>
  <si>
    <t>Honorarios</t>
  </si>
  <si>
    <t>Mercadeo y publicidad</t>
  </si>
  <si>
    <t>Tecnología y software</t>
  </si>
  <si>
    <t>Depreciaciones y amortizaciones</t>
  </si>
  <si>
    <t>Otros gastos operacionales</t>
  </si>
  <si>
    <t>Supuestos</t>
  </si>
  <si>
    <t>Ajusta estos valores: alimentan el presupuesto 2027</t>
  </si>
  <si>
    <t>Supuesto</t>
  </si>
  <si>
    <t>Valor</t>
  </si>
  <si>
    <t>Nota</t>
  </si>
  <si>
    <t>Nombre de la empresa</t>
  </si>
  <si>
    <t>Mi Empresa S.A.S.</t>
  </si>
  <si>
    <t>Aparece en el encabezado de las hojas.</t>
  </si>
  <si>
    <t>Moneda</t>
  </si>
  <si>
    <t>COP</t>
  </si>
  <si>
    <t>Moneda en la que registras las cifras.</t>
  </si>
  <si>
    <t>Crecimiento esperado de ventas 2027</t>
  </si>
  <si>
    <t>Valor de ejemplo. Defínelo con tu plan comercial.</t>
  </si>
  <si>
    <t>Inflación esperada (gastos generales)</t>
  </si>
  <si>
    <t>Valor de ejemplo. Ajústalo según tus proyecciones o las del mercado.</t>
  </si>
  <si>
    <t>Incremento salarial 2027</t>
  </si>
  <si>
    <t>Valor de ejemplo. Ajústalo cuando se conozca el incremento del salario mínimo.</t>
  </si>
  <si>
    <t>Tarifa de impuesto de renta</t>
  </si>
  <si>
    <t>Tarifa general personas jurídicas en Colombia (art. 240 E.T.). Verifica la que aplica a tu empresa.</t>
  </si>
  <si>
    <t>Proyección de cierre 2026</t>
  </si>
  <si>
    <t>REAL 2026</t>
  </si>
  <si>
    <t>PROYECTADO</t>
  </si>
  <si>
    <t>Ene-26</t>
  </si>
  <si>
    <t>Feb-26</t>
  </si>
  <si>
    <t>Mar-26</t>
  </si>
  <si>
    <t>Abr-26</t>
  </si>
  <si>
    <t>May-26</t>
  </si>
  <si>
    <t>Jun-26</t>
  </si>
  <si>
    <t>Jul-26</t>
  </si>
  <si>
    <t>Ago-26</t>
  </si>
  <si>
    <t>Sep-26</t>
  </si>
  <si>
    <t>Oct-26</t>
  </si>
  <si>
    <t>Nov-26</t>
  </si>
  <si>
    <t>Dic-26</t>
  </si>
  <si>
    <t>Total 2026</t>
  </si>
  <si>
    <t>Ajuste Oct-Dic</t>
  </si>
  <si>
    <t>INGRESOS</t>
  </si>
  <si>
    <t>Ventas / ingresos operacionales</t>
  </si>
  <si>
    <t>Otros ingresos</t>
  </si>
  <si>
    <t>Costo de ventas</t>
  </si>
  <si>
    <t>GASTOS OPERACIONALES</t>
  </si>
  <si>
    <t>Total gastos operacionales</t>
  </si>
  <si>
    <t>Gastos financieros</t>
  </si>
  <si>
    <t>Utilidad antes de impuestos</t>
  </si>
  <si>
    <t>Impuesto de renta estimado</t>
  </si>
  <si>
    <t>Presupuesto 2027</t>
  </si>
  <si>
    <t>Incremento %</t>
  </si>
  <si>
    <t>Ene-27</t>
  </si>
  <si>
    <t>Feb-27</t>
  </si>
  <si>
    <t>Mar-27</t>
  </si>
  <si>
    <t>Abr-27</t>
  </si>
  <si>
    <t>May-27</t>
  </si>
  <si>
    <t>Jun-27</t>
  </si>
  <si>
    <t>Jul-27</t>
  </si>
  <si>
    <t>Ago-27</t>
  </si>
  <si>
    <t>Sep-27</t>
  </si>
  <si>
    <t>Oct-27</t>
  </si>
  <si>
    <t>Nov-27</t>
  </si>
  <si>
    <t>Dic-27</t>
  </si>
  <si>
    <t>Total 2027</t>
  </si>
  <si>
    <t>Var. %</t>
  </si>
  <si>
    <t>Versión PRO: tu presupuesto a la medida</t>
  </si>
  <si>
    <t>La versión gratuita te da la estructura general. La PRO se construye con la información real de tu empresa.</t>
  </si>
  <si>
    <t>Incluye</t>
  </si>
  <si>
    <t>Gratis</t>
  </si>
  <si>
    <t>PRO</t>
  </si>
  <si>
    <t>Estado de resultados mensual</t>
  </si>
  <si>
    <t>✓</t>
  </si>
  <si>
    <t>Dashboard</t>
  </si>
  <si>
    <t>Básico</t>
  </si>
  <si>
    <t>Gerencial completo</t>
  </si>
  <si>
    <t>Presupuesto por áreas o centros de costo</t>
  </si>
  <si>
    <t>—</t>
  </si>
  <si>
    <t>Ventas por producto, línea, cliente o vendedor</t>
  </si>
  <si>
    <t>Nómina detallada por cargo (prestaciones, aportes, incrementos)</t>
  </si>
  <si>
    <t>Flujo de caja proyectado mes a mes</t>
  </si>
  <si>
    <t>Balance general proyectado</t>
  </si>
  <si>
    <t>Inversiones (CAPEX) y créditos con su amortización</t>
  </si>
  <si>
    <t>Escenarios: optimista, base y pesimista</t>
  </si>
  <si>
    <t>Seguimiento mensual real vs. presupuesto con semáforos</t>
  </si>
  <si>
    <t>Parametrizado con el plan de cuentas de tu empresa</t>
  </si>
  <si>
    <t>Acompañamiento en la implementación</t>
  </si>
  <si>
    <t>¿Cómo la solicito?</t>
  </si>
  <si>
    <t>1. Escríbenos a info@DataEdgeConsulting.onmicrosoft.com con el asunto "Presupuesto PRO".</t>
  </si>
  <si>
    <t>2. Revisamos contigo la estructura de tu empresa y la información disponible.</t>
  </si>
  <si>
    <t>3. Te enviamos una cotización sin costo, según la complejidad.</t>
  </si>
  <si>
    <t>4. Tu información se maneja con confidencialidad; si lo prefieres, firmamos un acuerdo de confidencialidad.</t>
  </si>
  <si>
    <t>✉  Solicitar mi presupuesto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</si>
</sst>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%;\(0.0%\);\-"/>
    <numFmt numFmtId="168" formatCode="0.0%;\-0.0%;0.0%"/>
  </numFmts>
  <fonts count="25" x14ac:knownFonts="1">
    <font>
      <sz val="11"/>
      <color theme="1"/>
      <name val="Calibri"/>
      <family val="2"/>
      <charset val="1"/>
    </font>
    <font>
      <b/>
      <sz val="16"/>
      <color rgb="FF1C2B44"/>
      <name val="Arial"/>
      <charset val="1"/>
    </font>
    <font>
      <sz val="10"/>
      <color rgb="FF6B7F9E"/>
      <name val="Arial"/>
      <charset val="1"/>
    </font>
    <font>
      <b/>
      <u/>
      <sz val="10"/>
      <color rgb="FF8A6A1F"/>
      <name val="Arial"/>
      <charset val="1"/>
    </font>
    <font>
      <b/>
      <sz val="10"/>
      <color rgb="FF1C2B4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6B7F9E"/>
      <name val="Arial"/>
      <charset val="1"/>
    </font>
    <font>
      <b/>
      <sz val="10"/>
      <color rgb="FF4A8DE8"/>
      <name val="Arial"/>
      <charset val="1"/>
    </font>
    <font>
      <i/>
      <sz val="8"/>
      <color rgb="FF8FA8CC"/>
      <name val="Arial"/>
      <charset val="1"/>
    </font>
    <font>
      <sz val="8"/>
      <color rgb="FF8FA8CC"/>
      <name val="Arial"/>
      <charset val="1"/>
    </font>
    <font>
      <b/>
      <sz val="8"/>
      <color rgb="FFD4A84E"/>
      <name val="Arial"/>
      <charset val="1"/>
    </font>
    <font>
      <b/>
      <sz val="18"/>
      <color rgb="FFFFFFFF"/>
      <name val="Arial"/>
      <charset val="1"/>
    </font>
    <font>
      <sz val="8"/>
      <color rgb="FF82B8F8"/>
      <name val="Arial"/>
      <charset val="1"/>
    </font>
    <font>
      <b/>
      <sz val="9"/>
      <color rgb="FF82B8F8"/>
      <name val="Arial"/>
      <charset val="1"/>
    </font>
    <font>
      <b/>
      <sz val="10"/>
      <color rgb="FFFFFFFF"/>
      <name val="Arial"/>
      <charset val="1"/>
    </font>
    <font>
      <i/>
      <sz val="9"/>
      <color rgb="FF6B7F9E"/>
      <name val="Arial"/>
      <charset val="1"/>
    </font>
    <font>
      <b/>
      <sz val="9"/>
      <color rgb="FF4A8DE8"/>
      <name val="Arial"/>
      <charset val="1"/>
    </font>
    <font>
      <b/>
      <sz val="9"/>
      <color rgb="FFB07F1F"/>
      <name val="Arial"/>
      <charset val="1"/>
    </font>
    <font>
      <sz val="10"/>
      <name val="Arial"/>
      <family val="2"/>
    </font>
    <font>
      <i/>
      <sz val="10"/>
      <name val="Arial"/>
      <charset val="1"/>
    </font>
    <font>
      <b/>
      <sz val="10"/>
      <color rgb="FF8A6A1F"/>
      <name val="Arial"/>
      <charset val="1"/>
    </font>
    <font>
      <b/>
      <sz val="12"/>
      <color rgb="FFFFFFFF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C2B44"/>
        <bgColor rgb="FF243356"/>
      </patternFill>
    </fill>
    <fill>
      <patternFill patternType="solid">
        <fgColor rgb="FFD4A84E"/>
        <bgColor rgb="FFB07F1F"/>
      </patternFill>
    </fill>
    <fill>
      <patternFill patternType="solid">
        <fgColor rgb="FFFFF6D6"/>
        <bgColor rgb="FFF0F4FB"/>
      </patternFill>
    </fill>
    <fill>
      <patternFill patternType="solid">
        <fgColor rgb="FF243356"/>
        <bgColor rgb="FF1C2B44"/>
      </patternFill>
    </fill>
    <fill>
      <patternFill patternType="solid">
        <fgColor rgb="FF5A4A1F"/>
        <bgColor rgb="FF8A6A1F"/>
      </patternFill>
    </fill>
    <fill>
      <patternFill patternType="solid">
        <fgColor rgb="FFE8EEF8"/>
        <bgColor rgb="FFF0F4FB"/>
      </patternFill>
    </fill>
    <fill>
      <patternFill patternType="solid">
        <fgColor rgb="FFF0F4FB"/>
        <bgColor rgb="FFE8EEF8"/>
      </patternFill>
    </fill>
    <fill>
      <patternFill patternType="solid">
        <fgColor rgb="FF8A6A1F"/>
        <bgColor rgb="FFB07F1F"/>
      </patternFill>
    </fill>
    <fill>
      <patternFill patternType="solid">
        <fgColor rgb="FF4A8DE8"/>
        <bgColor rgb="FF6B7F9E"/>
      </patternFill>
    </fill>
  </fills>
  <borders count="3">
    <border>
      <left/>
      <right/>
      <top/>
      <bottom/>
      <diagonal/>
    </border>
    <border>
      <left/>
      <right/>
      <top/>
      <bottom style="thin">
        <color rgb="FFDDE5F0"/>
      </bottom>
      <diagonal/>
    </border>
    <border>
      <left/>
      <right/>
      <top style="thin">
        <color rgb="FF1C2B44"/>
      </top>
      <bottom style="double">
        <color rgb="FF1C2B4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8" fillId="0" borderId="1" xfId="0" applyFont="1" applyBorder="1"/>
    <xf numFmtId="0" fontId="5" fillId="0" borderId="1" xfId="0" applyFont="1" applyBorder="1"/>
    <xf numFmtId="0" fontId="17" fillId="5" borderId="0" xfId="0" applyFont="1" applyFill="1" applyAlignment="1">
      <alignment horizontal="left"/>
    </xf>
    <xf numFmtId="0" fontId="15" fillId="2" borderId="0" xfId="0" applyFont="1" applyFill="1" applyAlignment="1">
      <alignment horizontal="left" indent="1"/>
    </xf>
    <xf numFmtId="165" fontId="14" fillId="2" borderId="0" xfId="0" applyNumberFormat="1" applyFont="1" applyFill="1" applyAlignment="1">
      <alignment horizontal="left" vertical="center" indent="1"/>
    </xf>
    <xf numFmtId="164" fontId="14" fillId="2" borderId="0" xfId="0" applyNumberFormat="1" applyFont="1" applyFill="1" applyAlignment="1">
      <alignment horizontal="left" vertical="center" indent="1"/>
    </xf>
    <xf numFmtId="0" fontId="13" fillId="2" borderId="0" xfId="0" applyFont="1" applyFill="1" applyAlignment="1">
      <alignment horizontal="left" indent="1"/>
    </xf>
    <xf numFmtId="0" fontId="6" fillId="0" borderId="0" xfId="0" applyFont="1" applyAlignment="1">
      <alignment vertical="top" wrapText="1"/>
    </xf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 vertical="center"/>
    </xf>
    <xf numFmtId="0" fontId="4" fillId="0" borderId="0" xfId="0" applyFont="1"/>
    <xf numFmtId="0" fontId="5" fillId="0" borderId="0" xfId="0" applyFont="1" applyAlignment="1">
      <alignment vertical="top"/>
    </xf>
    <xf numFmtId="0" fontId="7" fillId="4" borderId="0" xfId="0" applyFont="1" applyFill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165" fontId="16" fillId="2" borderId="0" xfId="0" applyNumberFormat="1" applyFont="1" applyFill="1" applyAlignment="1">
      <alignment horizontal="right"/>
    </xf>
    <xf numFmtId="0" fontId="17" fillId="5" borderId="0" xfId="0" applyFont="1" applyFill="1" applyAlignment="1">
      <alignment horizontal="left"/>
    </xf>
    <xf numFmtId="0" fontId="17" fillId="5" borderId="0" xfId="0" applyFont="1" applyFill="1" applyAlignment="1">
      <alignment horizontal="center"/>
    </xf>
    <xf numFmtId="164" fontId="8" fillId="0" borderId="1" xfId="0" applyNumberFormat="1" applyFont="1" applyBorder="1"/>
    <xf numFmtId="165" fontId="6" fillId="0" borderId="1" xfId="0" applyNumberFormat="1" applyFont="1" applyBorder="1"/>
    <xf numFmtId="0" fontId="18" fillId="0" borderId="1" xfId="0" applyFont="1" applyBorder="1"/>
    <xf numFmtId="165" fontId="8" fillId="0" borderId="1" xfId="0" applyNumberFormat="1" applyFont="1" applyBorder="1"/>
    <xf numFmtId="0" fontId="17" fillId="5" borderId="0" xfId="0" applyFont="1" applyFill="1"/>
    <xf numFmtId="164" fontId="8" fillId="0" borderId="0" xfId="0" applyNumberFormat="1" applyFont="1"/>
    <xf numFmtId="0" fontId="6" fillId="0" borderId="1" xfId="0" applyFont="1" applyBorder="1"/>
    <xf numFmtId="0" fontId="7" fillId="4" borderId="1" xfId="0" applyFont="1" applyFill="1" applyBorder="1" applyAlignment="1">
      <alignment horizontal="right"/>
    </xf>
    <xf numFmtId="0" fontId="2" fillId="0" borderId="1" xfId="0" applyFont="1" applyBorder="1"/>
    <xf numFmtId="165" fontId="7" fillId="4" borderId="1" xfId="0" applyNumberFormat="1" applyFont="1" applyFill="1" applyBorder="1" applyAlignment="1">
      <alignment horizontal="right"/>
    </xf>
    <xf numFmtId="0" fontId="19" fillId="0" borderId="0" xfId="0" applyFont="1"/>
    <xf numFmtId="0" fontId="20" fillId="0" borderId="0" xfId="0" applyFont="1"/>
    <xf numFmtId="0" fontId="17" fillId="5" borderId="0" xfId="0" applyFont="1" applyFill="1" applyAlignment="1">
      <alignment horizontal="left" vertical="center"/>
    </xf>
    <xf numFmtId="0" fontId="17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4" fillId="7" borderId="1" xfId="0" applyFont="1" applyFill="1" applyBorder="1"/>
    <xf numFmtId="164" fontId="7" fillId="4" borderId="1" xfId="0" applyNumberFormat="1" applyFont="1" applyFill="1" applyBorder="1"/>
    <xf numFmtId="164" fontId="6" fillId="0" borderId="1" xfId="0" applyNumberFormat="1" applyFont="1" applyBorder="1"/>
    <xf numFmtId="164" fontId="4" fillId="0" borderId="1" xfId="0" applyNumberFormat="1" applyFont="1" applyBorder="1"/>
    <xf numFmtId="168" fontId="7" fillId="4" borderId="1" xfId="0" applyNumberFormat="1" applyFont="1" applyFill="1" applyBorder="1"/>
    <xf numFmtId="0" fontId="4" fillId="8" borderId="1" xfId="0" applyFont="1" applyFill="1" applyBorder="1"/>
    <xf numFmtId="164" fontId="4" fillId="8" borderId="1" xfId="0" applyNumberFormat="1" applyFont="1" applyFill="1" applyBorder="1"/>
    <xf numFmtId="165" fontId="18" fillId="0" borderId="1" xfId="0" applyNumberFormat="1" applyFont="1" applyBorder="1"/>
    <xf numFmtId="0" fontId="4" fillId="8" borderId="2" xfId="0" applyFont="1" applyFill="1" applyBorder="1"/>
    <xf numFmtId="164" fontId="4" fillId="8" borderId="2" xfId="0" applyNumberFormat="1" applyFont="1" applyFill="1" applyBorder="1"/>
    <xf numFmtId="0" fontId="17" fillId="5" borderId="0" xfId="0" applyFont="1" applyFill="1" applyAlignment="1">
      <alignment horizontal="left" vertical="center" wrapText="1"/>
    </xf>
    <xf numFmtId="0" fontId="17" fillId="5" borderId="0" xfId="0" applyFont="1" applyFill="1" applyAlignment="1">
      <alignment horizontal="center" vertical="center" wrapText="1"/>
    </xf>
    <xf numFmtId="168" fontId="8" fillId="0" borderId="1" xfId="0" applyNumberFormat="1" applyFont="1" applyBorder="1"/>
    <xf numFmtId="165" fontId="4" fillId="8" borderId="1" xfId="0" applyNumberFormat="1" applyFont="1" applyFill="1" applyBorder="1"/>
    <xf numFmtId="168" fontId="22" fillId="0" borderId="1" xfId="0" applyNumberFormat="1" applyFont="1" applyBorder="1"/>
    <xf numFmtId="165" fontId="4" fillId="8" borderId="2" xfId="0" applyNumberFormat="1" applyFont="1" applyFill="1" applyBorder="1"/>
    <xf numFmtId="0" fontId="17" fillId="9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4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1F"/>
      <rgbColor rgb="FF800080"/>
      <rgbColor rgb="FF008080"/>
      <rgbColor rgb="FFC0C0C0"/>
      <rgbColor rgb="FF878787"/>
      <rgbColor rgb="FF8FA8CC"/>
      <rgbColor rgb="FF993366"/>
      <rgbColor rgb="FFFFF6D6"/>
      <rgbColor rgb="FFE8EE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B"/>
      <rgbColor rgb="FFDDE5F0"/>
      <rgbColor rgb="FFFFFF99"/>
      <rgbColor rgb="FF82B8F8"/>
      <rgbColor rgb="FFFF99CC"/>
      <rgbColor rgb="FFCC99FF"/>
      <rgbColor rgb="FFFFCC99"/>
      <rgbColor rgb="FF4A8DE8"/>
      <rgbColor rgb="FF33CCCC"/>
      <rgbColor rgb="FF99CC00"/>
      <rgbColor rgb="FFFFCC00"/>
      <rgbColor rgb="FFD4A84E"/>
      <rgbColor rgb="FFFF6600"/>
      <rgbColor rgb="FF6B7F9E"/>
      <rgbColor rgb="FFB07F1F"/>
      <rgbColor rgb="FF1C2B44"/>
      <rgbColor rgb="FF339966"/>
      <rgbColor rgb="FF003300"/>
      <rgbColor rgb="FF5A4A1F"/>
      <rgbColor rgb="FF993300"/>
      <rgbColor rgb="FF993366"/>
      <rgbColor rgb="FF333399"/>
      <rgbColor rgb="FF24335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Ingresos por mes: 2026 vs. 2027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Dashboard!$C$60</c:f>
              <c:strCache>
                <c:ptCount val="1"/>
                <c:pt idx="0">
                  <c:v>Ingresos 2026</c:v>
                </c:pt>
              </c:strCache>
            </c:strRef>
          </c:tx>
          <c:spPr>
            <a:solidFill>
              <a:srgbClr val="82B8F8"/>
            </a:solidFill>
            <a:ln w="0">
              <a:solidFill>
                <a:srgbClr val="82B8F8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Dashboard!$B$61:$B$72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Dashboard!$C$61:$C$72</c:f>
              <c:numCache>
                <c:formatCode>#,##0;\(#,##0\);\-</c:formatCode>
                <c:ptCount val="12"/>
                <c:pt idx="0">
                  <c:v>81200000</c:v>
                </c:pt>
                <c:pt idx="1">
                  <c:v>83100000</c:v>
                </c:pt>
                <c:pt idx="2">
                  <c:v>79300000</c:v>
                </c:pt>
                <c:pt idx="3">
                  <c:v>86200000</c:v>
                </c:pt>
                <c:pt idx="4">
                  <c:v>89000000</c:v>
                </c:pt>
                <c:pt idx="5">
                  <c:v>91400000</c:v>
                </c:pt>
                <c:pt idx="6">
                  <c:v>88200000</c:v>
                </c:pt>
                <c:pt idx="7">
                  <c:v>93100000</c:v>
                </c:pt>
                <c:pt idx="8">
                  <c:v>96300000</c:v>
                </c:pt>
                <c:pt idx="9">
                  <c:v>92533333.333333328</c:v>
                </c:pt>
                <c:pt idx="10">
                  <c:v>92533333.333333328</c:v>
                </c:pt>
                <c:pt idx="11">
                  <c:v>92533333.333333328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B3E-A248-20F3C1E54B55}"/>
            </c:ext>
          </c:extLst>
        </c:ser>
        <c:ser>
          <c:idx val="1"/>
          <c:order val="1"/>
          <c:tx>
            <c:strRef>
              <c:f>Dashboard!$D$60</c:f>
              <c:strCache>
                <c:ptCount val="1"/>
                <c:pt idx="0">
                  <c:v>Ingresos 2027</c:v>
                </c:pt>
              </c:strCache>
            </c:strRef>
          </c:tx>
          <c:spPr>
            <a:solidFill>
              <a:srgbClr val="1C2B44"/>
            </a:solidFill>
            <a:ln w="0">
              <a:solidFill>
                <a:srgbClr val="1C2B44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Dashboard!$B$61:$B$72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Dashboard!$D$61:$D$72</c:f>
              <c:numCache>
                <c:formatCode>#,##0;\(#,##0\);\-</c:formatCode>
                <c:ptCount val="12"/>
                <c:pt idx="0">
                  <c:v>87654000</c:v>
                </c:pt>
                <c:pt idx="1">
                  <c:v>89709500</c:v>
                </c:pt>
                <c:pt idx="2">
                  <c:v>85598500</c:v>
                </c:pt>
                <c:pt idx="3">
                  <c:v>93054000</c:v>
                </c:pt>
                <c:pt idx="4">
                  <c:v>96085000</c:v>
                </c:pt>
                <c:pt idx="5">
                  <c:v>98663000</c:v>
                </c:pt>
                <c:pt idx="6">
                  <c:v>95214000</c:v>
                </c:pt>
                <c:pt idx="7">
                  <c:v>100509500</c:v>
                </c:pt>
                <c:pt idx="8">
                  <c:v>103958500</c:v>
                </c:pt>
                <c:pt idx="9">
                  <c:v>99894000</c:v>
                </c:pt>
                <c:pt idx="10">
                  <c:v>99894000</c:v>
                </c:pt>
                <c:pt idx="11">
                  <c:v>99894000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1-4B3E-A248-20F3C1E54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726975"/>
        <c:axId val="38385552"/>
      </c:barChart>
      <c:catAx>
        <c:axId val="9872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8385552"/>
        <c:crosses val="autoZero"/>
        <c:auto val="1"/>
        <c:lblAlgn val="ctr"/>
        <c:lblOffset val="100"/>
        <c:noMultiLvlLbl val="0"/>
      </c:catAx>
      <c:valAx>
        <c:axId val="38385552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87269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Utilidad neta mensual 2027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Dashboard!$E$60</c:f>
              <c:strCache>
                <c:ptCount val="1"/>
                <c:pt idx="0">
                  <c:v>Utilidad neta 2027</c:v>
                </c:pt>
              </c:strCache>
            </c:strRef>
          </c:tx>
          <c:spPr>
            <a:solidFill>
              <a:srgbClr val="D4A84E"/>
            </a:solidFill>
            <a:ln w="0">
              <a:solidFill>
                <a:srgbClr val="D4A84E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Dashboard!$B$61:$B$72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Dashboard!$E$61:$E$72</c:f>
              <c:numCache>
                <c:formatCode>#,##0;\(#,##0\);\-</c:formatCode>
                <c:ptCount val="12"/>
                <c:pt idx="0">
                  <c:v>4557237.8211227451</c:v>
                </c:pt>
                <c:pt idx="1">
                  <c:v>5418457.5166508118</c:v>
                </c:pt>
                <c:pt idx="2">
                  <c:v>3831868.1255946774</c:v>
                </c:pt>
                <c:pt idx="3">
                  <c:v>6063537.0599429151</c:v>
                </c:pt>
                <c:pt idx="4">
                  <c:v>6472341.6032350184</c:v>
                </c:pt>
                <c:pt idx="5">
                  <c:v>7501911.2987630852</c:v>
                </c:pt>
                <c:pt idx="6">
                  <c:v>6334556.7554709818</c:v>
                </c:pt>
                <c:pt idx="7">
                  <c:v>7433305.9942911584</c:v>
                </c:pt>
                <c:pt idx="8">
                  <c:v>8317585.5375832561</c:v>
                </c:pt>
                <c:pt idx="9">
                  <c:v>7361816.0957817975</c:v>
                </c:pt>
                <c:pt idx="10">
                  <c:v>7361816.0957817975</c:v>
                </c:pt>
                <c:pt idx="11">
                  <c:v>7361816.0957817975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D4-4D80-854B-3DF9C1BEB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635834"/>
        <c:axId val="67929875"/>
      </c:barChart>
      <c:catAx>
        <c:axId val="746358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7929875"/>
        <c:crosses val="autoZero"/>
        <c:auto val="1"/>
        <c:lblAlgn val="ctr"/>
        <c:lblOffset val="100"/>
        <c:noMultiLvlLbl val="0"/>
      </c:catAx>
      <c:valAx>
        <c:axId val="67929875"/>
        <c:scaling>
          <c:orientation val="minMax"/>
        </c:scaling>
        <c:delete val="0"/>
        <c:axPos val="l"/>
        <c:numFmt formatCode="#,##0.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746358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Gastos operacionales 2027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Dashboard!$C$75</c:f>
              <c:strCache>
                <c:ptCount val="1"/>
                <c:pt idx="0">
                  <c:v>Presup. 2027</c:v>
                </c:pt>
              </c:strCache>
            </c:strRef>
          </c:tx>
          <c:spPr>
            <a:solidFill>
              <a:srgbClr val="4A8DE8"/>
            </a:solidFill>
            <a:ln w="0">
              <a:solidFill>
                <a:srgbClr val="4A8DE8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Dashboard!$B$76:$B$83</c:f>
              <c:strCache>
                <c:ptCount val="8"/>
                <c:pt idx="0">
                  <c:v>Nómina y prestaciones</c:v>
                </c:pt>
                <c:pt idx="1">
                  <c:v>Arriendos</c:v>
                </c:pt>
                <c:pt idx="2">
                  <c:v>Servicios públicos</c:v>
                </c:pt>
                <c:pt idx="3">
                  <c:v>Honorarios</c:v>
                </c:pt>
                <c:pt idx="4">
                  <c:v>Mercadeo y publicidad</c:v>
                </c:pt>
                <c:pt idx="5">
                  <c:v>Tecnología y software</c:v>
                </c:pt>
                <c:pt idx="6">
                  <c:v>Depreciaciones y amortizaciones</c:v>
                </c:pt>
                <c:pt idx="7">
                  <c:v>Otros gastos operacionales</c:v>
                </c:pt>
              </c:strCache>
            </c:strRef>
          </c:cat>
          <c:val>
            <c:numRef>
              <c:f>Dashboard!$C$76:$C$83</c:f>
              <c:numCache>
                <c:formatCode>#,##0;\(#,##0\);\-</c:formatCode>
                <c:ptCount val="8"/>
                <c:pt idx="0">
                  <c:v>177834000</c:v>
                </c:pt>
                <c:pt idx="1">
                  <c:v>56430000</c:v>
                </c:pt>
                <c:pt idx="2">
                  <c:v>14316499.999999998</c:v>
                </c:pt>
                <c:pt idx="3">
                  <c:v>31350000</c:v>
                </c:pt>
                <c:pt idx="4">
                  <c:v>26438499.999999996</c:v>
                </c:pt>
                <c:pt idx="5">
                  <c:v>11285999.999999998</c:v>
                </c:pt>
                <c:pt idx="6">
                  <c:v>18000000</c:v>
                </c:pt>
                <c:pt idx="7">
                  <c:v>22572000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0-4DD9-8B42-BC5898360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763433"/>
        <c:axId val="67531480"/>
      </c:barChart>
      <c:catAx>
        <c:axId val="86763433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7531480"/>
        <c:crosses val="autoZero"/>
        <c:auto val="1"/>
        <c:lblAlgn val="ctr"/>
        <c:lblOffset val="100"/>
        <c:noMultiLvlLbl val="0"/>
      </c:catAx>
      <c:valAx>
        <c:axId val="67531480"/>
        <c:scaling>
          <c:orientation val="minMax"/>
        </c:scaling>
        <c:delete val="0"/>
        <c:axPos val="b"/>
        <c:numFmt formatCode="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67634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1689480</xdr:colOff>
      <xdr:row>2</xdr:row>
      <xdr:rowOff>75600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11</xdr:row>
      <xdr:rowOff>0</xdr:rowOff>
    </xdr:from>
    <xdr:to>
      <xdr:col>13</xdr:col>
      <xdr:colOff>111240</xdr:colOff>
      <xdr:row>25</xdr:row>
      <xdr:rowOff>32760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95250</xdr:rowOff>
    </xdr:from>
    <xdr:to>
      <xdr:col>6</xdr:col>
      <xdr:colOff>657225</xdr:colOff>
      <xdr:row>37</xdr:row>
      <xdr:rowOff>32760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13</xdr:col>
      <xdr:colOff>111240</xdr:colOff>
      <xdr:row>43</xdr:row>
      <xdr:rowOff>1080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67680</xdr:colOff>
      <xdr:row>2</xdr:row>
      <xdr:rowOff>75600</xdr:rowOff>
    </xdr:to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1689480</xdr:colOff>
      <xdr:row>2</xdr:row>
      <xdr:rowOff>75600</xdr:rowOff>
    </xdr:to>
    <xdr:pic>
      <xdr:nvPicPr>
        <xdr:cNvPr id="5" name="Image 1" descr="Picture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1971360</xdr:colOff>
      <xdr:row>2</xdr:row>
      <xdr:rowOff>75600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1971360</xdr:colOff>
      <xdr:row>2</xdr:row>
      <xdr:rowOff>75600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1830240</xdr:colOff>
      <xdr:row>2</xdr:row>
      <xdr:rowOff>75600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1971360" cy="628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DataEdge_Presupuesto_2027_Cierre_2026.xlsx" TargetMode="External"/><Relationship Id="rId1" Type="http://schemas.openxmlformats.org/officeDocument/2006/relationships/hyperlink" Target="DataEdge_Presupuesto_2027_Cierre_2026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DataEdge_Presupuesto_2027_Cierre_2026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DataEdge_Presupuesto_2027_Cierre_2026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hyperlink" Target="DataEdge_Presupuesto_2027_Cierre_2026.xlsx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hyperlink" Target="DataEdge_Presupuesto_2027_Cierre_2026.xlsx" TargetMode="Externa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mailto:info@DataEdgeConsulting.onmicrosoft.com?subject=Presupuesto%20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C2B44"/>
    <pageSetUpPr fitToPage="1"/>
  </sheetPr>
  <dimension ref="A1:J27"/>
  <sheetViews>
    <sheetView showGridLines="0" topLeftCell="A12" zoomScaleNormal="100" workbookViewId="0">
      <selection activeCell="B6" sqref="B6"/>
    </sheetView>
  </sheetViews>
  <sheetFormatPr baseColWidth="10" defaultColWidth="8.7109375" defaultRowHeight="15" x14ac:dyDescent="0.25"/>
  <cols>
    <col min="1" max="1" width="4" customWidth="1"/>
    <col min="2" max="2" width="30" customWidth="1"/>
    <col min="3" max="10" width="12" customWidth="1"/>
  </cols>
  <sheetData>
    <row r="1" spans="1:10" ht="21.75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ht="21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</row>
    <row r="3" spans="1:10" ht="21.75" customHeight="1" x14ac:dyDescent="0.25">
      <c r="A3" s="9"/>
      <c r="B3" s="9"/>
      <c r="C3" s="9"/>
      <c r="D3" s="9"/>
      <c r="E3" s="9"/>
      <c r="F3" s="9"/>
      <c r="G3" s="9"/>
      <c r="H3" s="9"/>
      <c r="I3" s="9"/>
      <c r="J3" s="9"/>
    </row>
    <row r="4" spans="1:10" ht="3.75" customHeight="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</row>
    <row r="5" spans="1:10" ht="25.5" customHeight="1" x14ac:dyDescent="0.3">
      <c r="A5" s="11" t="s">
        <v>0</v>
      </c>
    </row>
    <row r="6" spans="1:10" x14ac:dyDescent="0.25">
      <c r="A6" s="12" t="s">
        <v>1</v>
      </c>
    </row>
    <row r="7" spans="1:10" x14ac:dyDescent="0.25">
      <c r="E7" s="13" t="s">
        <v>2</v>
      </c>
    </row>
    <row r="8" spans="1:10" x14ac:dyDescent="0.25">
      <c r="B8" s="14" t="s">
        <v>3</v>
      </c>
    </row>
    <row r="9" spans="1:10" ht="30" customHeight="1" x14ac:dyDescent="0.25">
      <c r="B9" s="15" t="s">
        <v>4</v>
      </c>
      <c r="C9" s="8" t="s">
        <v>5</v>
      </c>
      <c r="D9" s="8"/>
      <c r="E9" s="8"/>
      <c r="F9" s="8"/>
      <c r="G9" s="8"/>
      <c r="H9" s="8"/>
      <c r="I9" s="8"/>
      <c r="J9" s="8"/>
    </row>
    <row r="10" spans="1:10" ht="30" customHeight="1" x14ac:dyDescent="0.25">
      <c r="B10" s="15" t="s">
        <v>6</v>
      </c>
      <c r="C10" s="8" t="s">
        <v>7</v>
      </c>
      <c r="D10" s="8"/>
      <c r="E10" s="8"/>
      <c r="F10" s="8"/>
      <c r="G10" s="8"/>
      <c r="H10" s="8"/>
      <c r="I10" s="8"/>
      <c r="J10" s="8"/>
    </row>
    <row r="11" spans="1:10" ht="30" customHeight="1" x14ac:dyDescent="0.25">
      <c r="B11" s="15" t="s">
        <v>8</v>
      </c>
      <c r="C11" s="8" t="s">
        <v>9</v>
      </c>
      <c r="D11" s="8"/>
      <c r="E11" s="8"/>
      <c r="F11" s="8"/>
      <c r="G11" s="8"/>
      <c r="H11" s="8"/>
      <c r="I11" s="8"/>
      <c r="J11" s="8"/>
    </row>
    <row r="12" spans="1:10" ht="30" customHeight="1" x14ac:dyDescent="0.25">
      <c r="B12" s="15" t="s">
        <v>10</v>
      </c>
      <c r="C12" s="8" t="s">
        <v>11</v>
      </c>
      <c r="D12" s="8"/>
      <c r="E12" s="8"/>
      <c r="F12" s="8"/>
      <c r="G12" s="8"/>
      <c r="H12" s="8"/>
      <c r="I12" s="8"/>
      <c r="J12" s="8"/>
    </row>
    <row r="13" spans="1:10" ht="30" customHeight="1" x14ac:dyDescent="0.25">
      <c r="B13" s="15" t="s">
        <v>12</v>
      </c>
      <c r="C13" s="8" t="s">
        <v>13</v>
      </c>
      <c r="D13" s="8"/>
      <c r="E13" s="8"/>
      <c r="F13" s="8"/>
      <c r="G13" s="8"/>
      <c r="H13" s="8"/>
      <c r="I13" s="8"/>
      <c r="J13" s="8"/>
    </row>
    <row r="15" spans="1:10" x14ac:dyDescent="0.25">
      <c r="B15" s="14" t="s">
        <v>14</v>
      </c>
    </row>
    <row r="16" spans="1:10" x14ac:dyDescent="0.25">
      <c r="B16" s="16" t="s">
        <v>15</v>
      </c>
      <c r="C16" s="17" t="s">
        <v>16</v>
      </c>
    </row>
    <row r="17" spans="2:3" x14ac:dyDescent="0.25">
      <c r="B17" s="18" t="s">
        <v>15</v>
      </c>
      <c r="C17" s="17" t="s">
        <v>17</v>
      </c>
    </row>
    <row r="18" spans="2:3" x14ac:dyDescent="0.25">
      <c r="B18" s="19" t="s">
        <v>18</v>
      </c>
      <c r="C18" s="17" t="s">
        <v>19</v>
      </c>
    </row>
    <row r="20" spans="2:3" x14ac:dyDescent="0.25">
      <c r="B20" s="20" t="s">
        <v>20</v>
      </c>
    </row>
    <row r="22" spans="2:3" x14ac:dyDescent="0.25">
      <c r="B22" s="14" t="s">
        <v>21</v>
      </c>
    </row>
    <row r="23" spans="2:3" x14ac:dyDescent="0.25">
      <c r="B23" s="17" t="s">
        <v>22</v>
      </c>
    </row>
    <row r="24" spans="2:3" x14ac:dyDescent="0.25">
      <c r="B24" s="21" t="s">
        <v>23</v>
      </c>
    </row>
    <row r="26" spans="2:3" x14ac:dyDescent="0.25">
      <c r="B26" s="22" t="s">
        <v>24</v>
      </c>
    </row>
    <row r="27" spans="2:3" x14ac:dyDescent="0.25">
      <c r="B27" s="23" t="s">
        <v>25</v>
      </c>
    </row>
  </sheetData>
  <mergeCells count="5">
    <mergeCell ref="C9:J9"/>
    <mergeCell ref="C10:J10"/>
    <mergeCell ref="C11:J11"/>
    <mergeCell ref="C12:J12"/>
    <mergeCell ref="C13:J13"/>
  </mergeCells>
  <hyperlinks>
    <hyperlink ref="E7" r:id="rId1" location="'Versión%20PRO'!A1" xr:uid="{00000000-0004-0000-0000-000000000000}"/>
    <hyperlink ref="B22" r:id="rId2" location="'Versión%20PRO'!A1" xr:uid="{00000000-0004-0000-0000-000001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C2B44"/>
    <pageSetUpPr fitToPage="1"/>
  </sheetPr>
  <dimension ref="A1:N83"/>
  <sheetViews>
    <sheetView showGridLines="0" topLeftCell="A30" zoomScaleNormal="100" workbookViewId="0">
      <selection activeCell="O24" sqref="O24"/>
    </sheetView>
  </sheetViews>
  <sheetFormatPr baseColWidth="10" defaultColWidth="8.7109375" defaultRowHeight="15" x14ac:dyDescent="0.25"/>
  <cols>
    <col min="1" max="1" width="2" customWidth="1"/>
    <col min="2" max="14" width="12.42578125" customWidth="1"/>
  </cols>
  <sheetData>
    <row r="1" spans="1:14" ht="21.75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21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1:14" ht="21.75" customHeight="1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</row>
    <row r="4" spans="1:14" ht="3.75" customHeight="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 ht="25.5" customHeight="1" x14ac:dyDescent="0.3">
      <c r="A5" s="11" t="s">
        <v>26</v>
      </c>
    </row>
    <row r="6" spans="1:14" x14ac:dyDescent="0.25">
      <c r="A6" s="12" t="str">
        <f>"Empresa: "&amp;Empresa&amp;"  ·  Cifras en "&amp;Moneda</f>
        <v>Empresa: Mi Empresa S.A.S.  ·  Cifras en COP</v>
      </c>
    </row>
    <row r="7" spans="1:14" x14ac:dyDescent="0.25">
      <c r="H7" s="13" t="s">
        <v>2</v>
      </c>
    </row>
    <row r="8" spans="1:14" ht="19.5" customHeight="1" x14ac:dyDescent="0.25">
      <c r="B8" s="7" t="s">
        <v>27</v>
      </c>
      <c r="C8" s="7"/>
      <c r="D8" s="7"/>
      <c r="E8" s="7" t="s">
        <v>28</v>
      </c>
      <c r="F8" s="7"/>
      <c r="G8" s="7"/>
      <c r="H8" s="7" t="s">
        <v>29</v>
      </c>
      <c r="I8" s="7"/>
      <c r="J8" s="7"/>
      <c r="K8" s="7" t="s">
        <v>30</v>
      </c>
      <c r="L8" s="7"/>
      <c r="M8" s="7"/>
    </row>
    <row r="9" spans="1:14" ht="33.75" customHeight="1" x14ac:dyDescent="0.25">
      <c r="B9" s="6">
        <f>'Presupuesto 2027'!O12</f>
        <v>1150128000</v>
      </c>
      <c r="C9" s="6"/>
      <c r="D9" s="6"/>
      <c r="E9" s="6">
        <f>'Presupuesto 2027'!O30</f>
        <v>78016250.000000045</v>
      </c>
      <c r="F9" s="6"/>
      <c r="G9" s="6"/>
      <c r="H9" s="5">
        <f>'Presupuesto 2027'!O31</f>
        <v>6.7832667320506967E-2</v>
      </c>
      <c r="I9" s="5"/>
      <c r="J9" s="5"/>
      <c r="K9" s="6">
        <f>'Presupuesto 2027'!O25</f>
        <v>358227000</v>
      </c>
      <c r="L9" s="6"/>
      <c r="M9" s="6"/>
    </row>
    <row r="10" spans="1:14" ht="18" customHeight="1" x14ac:dyDescent="0.25">
      <c r="B10" s="4" t="s">
        <v>31</v>
      </c>
      <c r="C10" s="4"/>
      <c r="D10" s="24">
        <f>IFERROR('Presupuesto 2027'!O12/'Presupuesto 2027'!P12-1,0)</f>
        <v>7.9526938239158795E-2</v>
      </c>
      <c r="E10" s="4" t="s">
        <v>31</v>
      </c>
      <c r="F10" s="4"/>
      <c r="G10" s="24">
        <f>IFERROR('Presupuesto 2027'!O30/'Presupuesto 2027'!P30-1,0)</f>
        <v>0.16869522882181198</v>
      </c>
      <c r="H10" s="4" t="s">
        <v>32</v>
      </c>
      <c r="I10" s="4"/>
      <c r="J10" s="24">
        <f>'Presupuesto 2027'!P31</f>
        <v>6.2657217946311225E-2</v>
      </c>
      <c r="K10" s="4" t="s">
        <v>31</v>
      </c>
      <c r="L10" s="4"/>
      <c r="M10" s="24">
        <f>IFERROR('Presupuesto 2027'!O25/'Presupuesto 2027'!P25-1,0)</f>
        <v>5.4849823321554858E-2</v>
      </c>
    </row>
    <row r="12" spans="1:14" x14ac:dyDescent="0.25">
      <c r="B12" s="14" t="s">
        <v>33</v>
      </c>
    </row>
    <row r="13" spans="1:14" x14ac:dyDescent="0.25">
      <c r="B13" s="3" t="s">
        <v>34</v>
      </c>
      <c r="C13" s="3"/>
      <c r="D13" s="26" t="s">
        <v>35</v>
      </c>
      <c r="E13" s="26" t="s">
        <v>36</v>
      </c>
      <c r="F13" s="26" t="s">
        <v>37</v>
      </c>
    </row>
    <row r="14" spans="1:14" x14ac:dyDescent="0.25">
      <c r="B14" s="2" t="s">
        <v>38</v>
      </c>
      <c r="C14" s="2"/>
      <c r="D14" s="27">
        <f>'Cierre 2026'!N12</f>
        <v>1065400000.0000001</v>
      </c>
      <c r="E14" s="27">
        <f>'Presupuesto 2027'!O12</f>
        <v>1150128000</v>
      </c>
      <c r="F14" s="28">
        <f>IFERROR(E14/D14-1,0)</f>
        <v>7.9526938239158795E-2</v>
      </c>
    </row>
    <row r="15" spans="1:14" x14ac:dyDescent="0.25">
      <c r="B15" s="2" t="s">
        <v>39</v>
      </c>
      <c r="C15" s="2"/>
      <c r="D15" s="27">
        <f>'Cierre 2026'!N14</f>
        <v>455699999.99999994</v>
      </c>
      <c r="E15" s="27">
        <f>'Presupuesto 2027'!O14</f>
        <v>491652000.00000006</v>
      </c>
      <c r="F15" s="28">
        <f>IFERROR(E15/D15-1,0)</f>
        <v>7.8894009216590177E-2</v>
      </c>
    </row>
    <row r="16" spans="1:14" x14ac:dyDescent="0.25">
      <c r="B16" s="1" t="s">
        <v>40</v>
      </c>
      <c r="C16" s="1"/>
      <c r="D16" s="30">
        <f>'Cierre 2026'!N15</f>
        <v>0.42772667542706955</v>
      </c>
      <c r="E16" s="30">
        <f>'Presupuesto 2027'!O15</f>
        <v>0.4274758983347941</v>
      </c>
      <c r="F16" s="28">
        <f>E16-D16</f>
        <v>-2.5077709227544487E-4</v>
      </c>
    </row>
    <row r="17" spans="2:6" x14ac:dyDescent="0.25">
      <c r="B17" s="2" t="s">
        <v>41</v>
      </c>
      <c r="C17" s="2"/>
      <c r="D17" s="27">
        <f>'Cierre 2026'!N25</f>
        <v>339600000</v>
      </c>
      <c r="E17" s="27">
        <f>'Presupuesto 2027'!O25</f>
        <v>358227000</v>
      </c>
      <c r="F17" s="28">
        <f>IFERROR(E17/D17-1,0)</f>
        <v>5.4849823321554858E-2</v>
      </c>
    </row>
    <row r="18" spans="2:6" x14ac:dyDescent="0.25">
      <c r="B18" s="2" t="s">
        <v>42</v>
      </c>
      <c r="C18" s="2"/>
      <c r="D18" s="27">
        <f>'Cierre 2026'!N26</f>
        <v>116099999.99999999</v>
      </c>
      <c r="E18" s="27">
        <f>'Presupuesto 2027'!O26</f>
        <v>133425000.00000003</v>
      </c>
      <c r="F18" s="28">
        <f>IFERROR(E18/D18-1,0)</f>
        <v>0.14922480620155087</v>
      </c>
    </row>
    <row r="19" spans="2:6" x14ac:dyDescent="0.25">
      <c r="B19" s="2" t="s">
        <v>43</v>
      </c>
      <c r="C19" s="2"/>
      <c r="D19" s="27">
        <f>'Cierre 2026'!N30</f>
        <v>66754999.999999985</v>
      </c>
      <c r="E19" s="27">
        <f>'Presupuesto 2027'!O30</f>
        <v>78016250.000000045</v>
      </c>
      <c r="F19" s="28">
        <f>IFERROR(E19/D19-1,0)</f>
        <v>0.16869522882181198</v>
      </c>
    </row>
    <row r="20" spans="2:6" x14ac:dyDescent="0.25">
      <c r="B20" s="1" t="s">
        <v>44</v>
      </c>
      <c r="C20" s="1"/>
      <c r="D20" s="30">
        <f>'Cierre 2026'!N31</f>
        <v>6.2657217946311225E-2</v>
      </c>
      <c r="E20" s="30">
        <f>'Presupuesto 2027'!O31</f>
        <v>6.7832667320506967E-2</v>
      </c>
      <c r="F20" s="28">
        <f>E20-D20</f>
        <v>5.1754493741957425E-3</v>
      </c>
    </row>
    <row r="21" spans="2:6" x14ac:dyDescent="0.25">
      <c r="B21" s="22" t="s">
        <v>45</v>
      </c>
    </row>
    <row r="59" spans="2:5" x14ac:dyDescent="0.25">
      <c r="B59" s="22" t="s">
        <v>46</v>
      </c>
    </row>
    <row r="60" spans="2:5" x14ac:dyDescent="0.25">
      <c r="B60" s="31" t="s">
        <v>47</v>
      </c>
      <c r="C60" s="31" t="s">
        <v>48</v>
      </c>
      <c r="D60" s="31" t="s">
        <v>49</v>
      </c>
      <c r="E60" s="31" t="s">
        <v>50</v>
      </c>
    </row>
    <row r="61" spans="2:5" x14ac:dyDescent="0.25">
      <c r="B61" s="17" t="s">
        <v>51</v>
      </c>
      <c r="C61" s="32">
        <f>'Cierre 2026'!B12</f>
        <v>81200000</v>
      </c>
      <c r="D61" s="32">
        <f>'Presupuesto 2027'!C12</f>
        <v>87654000</v>
      </c>
      <c r="E61" s="32">
        <f>'Presupuesto 2027'!C30</f>
        <v>4557237.8211227451</v>
      </c>
    </row>
    <row r="62" spans="2:5" x14ac:dyDescent="0.25">
      <c r="B62" s="17" t="s">
        <v>52</v>
      </c>
      <c r="C62" s="32">
        <f>'Cierre 2026'!C12</f>
        <v>83100000</v>
      </c>
      <c r="D62" s="32">
        <f>'Presupuesto 2027'!D12</f>
        <v>89709500</v>
      </c>
      <c r="E62" s="32">
        <f>'Presupuesto 2027'!D30</f>
        <v>5418457.5166508118</v>
      </c>
    </row>
    <row r="63" spans="2:5" x14ac:dyDescent="0.25">
      <c r="B63" s="17" t="s">
        <v>53</v>
      </c>
      <c r="C63" s="32">
        <f>'Cierre 2026'!D12</f>
        <v>79300000</v>
      </c>
      <c r="D63" s="32">
        <f>'Presupuesto 2027'!E12</f>
        <v>85598500</v>
      </c>
      <c r="E63" s="32">
        <f>'Presupuesto 2027'!E30</f>
        <v>3831868.1255946774</v>
      </c>
    </row>
    <row r="64" spans="2:5" x14ac:dyDescent="0.25">
      <c r="B64" s="17" t="s">
        <v>54</v>
      </c>
      <c r="C64" s="32">
        <f>'Cierre 2026'!E12</f>
        <v>86200000</v>
      </c>
      <c r="D64" s="32">
        <f>'Presupuesto 2027'!F12</f>
        <v>93054000</v>
      </c>
      <c r="E64" s="32">
        <f>'Presupuesto 2027'!F30</f>
        <v>6063537.0599429151</v>
      </c>
    </row>
    <row r="65" spans="2:5" x14ac:dyDescent="0.25">
      <c r="B65" s="17" t="s">
        <v>55</v>
      </c>
      <c r="C65" s="32">
        <f>'Cierre 2026'!F12</f>
        <v>89000000</v>
      </c>
      <c r="D65" s="32">
        <f>'Presupuesto 2027'!G12</f>
        <v>96085000</v>
      </c>
      <c r="E65" s="32">
        <f>'Presupuesto 2027'!G30</f>
        <v>6472341.6032350184</v>
      </c>
    </row>
    <row r="66" spans="2:5" x14ac:dyDescent="0.25">
      <c r="B66" s="17" t="s">
        <v>56</v>
      </c>
      <c r="C66" s="32">
        <f>'Cierre 2026'!G12</f>
        <v>91400000</v>
      </c>
      <c r="D66" s="32">
        <f>'Presupuesto 2027'!H12</f>
        <v>98663000</v>
      </c>
      <c r="E66" s="32">
        <f>'Presupuesto 2027'!H30</f>
        <v>7501911.2987630852</v>
      </c>
    </row>
    <row r="67" spans="2:5" x14ac:dyDescent="0.25">
      <c r="B67" s="17" t="s">
        <v>57</v>
      </c>
      <c r="C67" s="32">
        <f>'Cierre 2026'!H12</f>
        <v>88200000</v>
      </c>
      <c r="D67" s="32">
        <f>'Presupuesto 2027'!I12</f>
        <v>95214000</v>
      </c>
      <c r="E67" s="32">
        <f>'Presupuesto 2027'!I30</f>
        <v>6334556.7554709818</v>
      </c>
    </row>
    <row r="68" spans="2:5" x14ac:dyDescent="0.25">
      <c r="B68" s="17" t="s">
        <v>58</v>
      </c>
      <c r="C68" s="32">
        <f>'Cierre 2026'!I12</f>
        <v>93100000</v>
      </c>
      <c r="D68" s="32">
        <f>'Presupuesto 2027'!J12</f>
        <v>100509500</v>
      </c>
      <c r="E68" s="32">
        <f>'Presupuesto 2027'!J30</f>
        <v>7433305.9942911584</v>
      </c>
    </row>
    <row r="69" spans="2:5" x14ac:dyDescent="0.25">
      <c r="B69" s="17" t="s">
        <v>59</v>
      </c>
      <c r="C69" s="32">
        <f>'Cierre 2026'!J12</f>
        <v>96300000</v>
      </c>
      <c r="D69" s="32">
        <f>'Presupuesto 2027'!K12</f>
        <v>103958500</v>
      </c>
      <c r="E69" s="32">
        <f>'Presupuesto 2027'!K30</f>
        <v>8317585.5375832561</v>
      </c>
    </row>
    <row r="70" spans="2:5" x14ac:dyDescent="0.25">
      <c r="B70" s="17" t="s">
        <v>60</v>
      </c>
      <c r="C70" s="32">
        <f>'Cierre 2026'!K12</f>
        <v>92533333.333333328</v>
      </c>
      <c r="D70" s="32">
        <f>'Presupuesto 2027'!L12</f>
        <v>99894000</v>
      </c>
      <c r="E70" s="32">
        <f>'Presupuesto 2027'!L30</f>
        <v>7361816.0957817975</v>
      </c>
    </row>
    <row r="71" spans="2:5" x14ac:dyDescent="0.25">
      <c r="B71" s="17" t="s">
        <v>61</v>
      </c>
      <c r="C71" s="32">
        <f>'Cierre 2026'!L12</f>
        <v>92533333.333333328</v>
      </c>
      <c r="D71" s="32">
        <f>'Presupuesto 2027'!M12</f>
        <v>99894000</v>
      </c>
      <c r="E71" s="32">
        <f>'Presupuesto 2027'!M30</f>
        <v>7361816.0957817975</v>
      </c>
    </row>
    <row r="72" spans="2:5" x14ac:dyDescent="0.25">
      <c r="B72" s="17" t="s">
        <v>62</v>
      </c>
      <c r="C72" s="32">
        <f>'Cierre 2026'!M12</f>
        <v>92533333.333333328</v>
      </c>
      <c r="D72" s="32">
        <f>'Presupuesto 2027'!N12</f>
        <v>99894000</v>
      </c>
      <c r="E72" s="32">
        <f>'Presupuesto 2027'!N30</f>
        <v>7361816.0957817975</v>
      </c>
    </row>
    <row r="75" spans="2:5" x14ac:dyDescent="0.25">
      <c r="B75" s="31" t="s">
        <v>63</v>
      </c>
      <c r="C75" s="31" t="s">
        <v>36</v>
      </c>
    </row>
    <row r="76" spans="2:5" x14ac:dyDescent="0.25">
      <c r="B76" s="17" t="s">
        <v>64</v>
      </c>
      <c r="C76" s="32">
        <f>'Presupuesto 2027'!O17</f>
        <v>177834000</v>
      </c>
    </row>
    <row r="77" spans="2:5" x14ac:dyDescent="0.25">
      <c r="B77" s="17" t="s">
        <v>65</v>
      </c>
      <c r="C77" s="32">
        <f>'Presupuesto 2027'!O18</f>
        <v>56430000</v>
      </c>
    </row>
    <row r="78" spans="2:5" x14ac:dyDescent="0.25">
      <c r="B78" s="17" t="s">
        <v>66</v>
      </c>
      <c r="C78" s="32">
        <f>'Presupuesto 2027'!O19</f>
        <v>14316499.999999998</v>
      </c>
    </row>
    <row r="79" spans="2:5" x14ac:dyDescent="0.25">
      <c r="B79" s="17" t="s">
        <v>67</v>
      </c>
      <c r="C79" s="32">
        <f>'Presupuesto 2027'!O20</f>
        <v>31350000</v>
      </c>
    </row>
    <row r="80" spans="2:5" x14ac:dyDescent="0.25">
      <c r="B80" s="17" t="s">
        <v>68</v>
      </c>
      <c r="C80" s="32">
        <f>'Presupuesto 2027'!O21</f>
        <v>26438499.999999996</v>
      </c>
    </row>
    <row r="81" spans="2:3" x14ac:dyDescent="0.25">
      <c r="B81" s="17" t="s">
        <v>69</v>
      </c>
      <c r="C81" s="32">
        <f>'Presupuesto 2027'!O22</f>
        <v>11285999.999999998</v>
      </c>
    </row>
    <row r="82" spans="2:3" x14ac:dyDescent="0.25">
      <c r="B82" s="17" t="s">
        <v>70</v>
      </c>
      <c r="C82" s="32">
        <f>'Presupuesto 2027'!O23</f>
        <v>18000000</v>
      </c>
    </row>
    <row r="83" spans="2:3" x14ac:dyDescent="0.25">
      <c r="B83" s="17" t="s">
        <v>71</v>
      </c>
      <c r="C83" s="32">
        <f>'Presupuesto 2027'!O24</f>
        <v>22572000</v>
      </c>
    </row>
  </sheetData>
  <mergeCells count="20">
    <mergeCell ref="B19:C19"/>
    <mergeCell ref="B20:C20"/>
    <mergeCell ref="B14:C14"/>
    <mergeCell ref="B15:C15"/>
    <mergeCell ref="B16:C16"/>
    <mergeCell ref="B17:C17"/>
    <mergeCell ref="B18:C18"/>
    <mergeCell ref="B10:C10"/>
    <mergeCell ref="E10:F10"/>
    <mergeCell ref="H10:I10"/>
    <mergeCell ref="K10:L10"/>
    <mergeCell ref="B13:C13"/>
    <mergeCell ref="B8:D8"/>
    <mergeCell ref="E8:G8"/>
    <mergeCell ref="H8:J8"/>
    <mergeCell ref="K8:M8"/>
    <mergeCell ref="B9:D9"/>
    <mergeCell ref="E9:G9"/>
    <mergeCell ref="H9:J9"/>
    <mergeCell ref="K9:M9"/>
  </mergeCells>
  <hyperlinks>
    <hyperlink ref="H7" r:id="rId1" location="'Versión%20PRO'!A1" xr:uid="{00000000-0004-0000-0100-000000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DE8"/>
    <pageSetUpPr fitToPage="1"/>
  </sheetPr>
  <dimension ref="A1:E14"/>
  <sheetViews>
    <sheetView showGridLines="0" zoomScaleNormal="100" workbookViewId="0"/>
  </sheetViews>
  <sheetFormatPr baseColWidth="10" defaultColWidth="8.7109375" defaultRowHeight="15" x14ac:dyDescent="0.25"/>
  <cols>
    <col min="1" max="1" width="4" customWidth="1"/>
    <col min="2" max="2" width="42" customWidth="1"/>
    <col min="3" max="3" width="22" customWidth="1"/>
    <col min="4" max="4" width="60" customWidth="1"/>
  </cols>
  <sheetData>
    <row r="1" spans="1:5" ht="21.75" customHeight="1" x14ac:dyDescent="0.25">
      <c r="A1" s="9"/>
      <c r="B1" s="9"/>
      <c r="C1" s="9"/>
      <c r="D1" s="9"/>
      <c r="E1" s="9"/>
    </row>
    <row r="2" spans="1:5" ht="21.75" customHeight="1" x14ac:dyDescent="0.25">
      <c r="A2" s="9"/>
      <c r="B2" s="9"/>
      <c r="C2" s="9"/>
      <c r="D2" s="9"/>
      <c r="E2" s="9"/>
    </row>
    <row r="3" spans="1:5" ht="21.75" customHeight="1" x14ac:dyDescent="0.25">
      <c r="A3" s="9"/>
      <c r="B3" s="9"/>
      <c r="C3" s="9"/>
      <c r="D3" s="9"/>
      <c r="E3" s="9"/>
    </row>
    <row r="4" spans="1:5" ht="3.75" customHeight="1" x14ac:dyDescent="0.25">
      <c r="A4" s="10"/>
      <c r="B4" s="10"/>
      <c r="C4" s="10"/>
      <c r="D4" s="10"/>
      <c r="E4" s="10"/>
    </row>
    <row r="5" spans="1:5" ht="25.5" customHeight="1" x14ac:dyDescent="0.3">
      <c r="A5" s="11" t="s">
        <v>72</v>
      </c>
    </row>
    <row r="6" spans="1:5" x14ac:dyDescent="0.25">
      <c r="A6" s="12" t="s">
        <v>73</v>
      </c>
    </row>
    <row r="7" spans="1:5" x14ac:dyDescent="0.25">
      <c r="C7" s="13" t="s">
        <v>2</v>
      </c>
    </row>
    <row r="8" spans="1:5" x14ac:dyDescent="0.25">
      <c r="B8" s="31" t="s">
        <v>74</v>
      </c>
      <c r="C8" s="31" t="s">
        <v>75</v>
      </c>
      <c r="D8" s="31" t="s">
        <v>76</v>
      </c>
    </row>
    <row r="9" spans="1:5" x14ac:dyDescent="0.25">
      <c r="B9" s="33" t="s">
        <v>77</v>
      </c>
      <c r="C9" s="34" t="s">
        <v>78</v>
      </c>
      <c r="D9" s="35" t="s">
        <v>79</v>
      </c>
    </row>
    <row r="10" spans="1:5" x14ac:dyDescent="0.25">
      <c r="B10" s="33" t="s">
        <v>80</v>
      </c>
      <c r="C10" s="34" t="s">
        <v>81</v>
      </c>
      <c r="D10" s="35" t="s">
        <v>82</v>
      </c>
    </row>
    <row r="11" spans="1:5" x14ac:dyDescent="0.25">
      <c r="B11" s="33" t="s">
        <v>83</v>
      </c>
      <c r="C11" s="36">
        <v>0.08</v>
      </c>
      <c r="D11" s="35" t="s">
        <v>84</v>
      </c>
    </row>
    <row r="12" spans="1:5" x14ac:dyDescent="0.25">
      <c r="B12" s="33" t="s">
        <v>85</v>
      </c>
      <c r="C12" s="36">
        <v>4.4999999999999998E-2</v>
      </c>
      <c r="D12" s="35" t="s">
        <v>86</v>
      </c>
    </row>
    <row r="13" spans="1:5" x14ac:dyDescent="0.25">
      <c r="B13" s="33" t="s">
        <v>87</v>
      </c>
      <c r="C13" s="36">
        <v>7.0000000000000007E-2</v>
      </c>
      <c r="D13" s="35" t="s">
        <v>88</v>
      </c>
    </row>
    <row r="14" spans="1:5" x14ac:dyDescent="0.25">
      <c r="B14" s="33" t="s">
        <v>89</v>
      </c>
      <c r="C14" s="36">
        <v>0.35</v>
      </c>
      <c r="D14" s="35" t="s">
        <v>90</v>
      </c>
    </row>
  </sheetData>
  <dataValidations count="1">
    <dataValidation type="decimal" errorTitle="Valor no válido" error="Escribe un porcentaje (ej. 8%)." sqref="C11:C14" xr:uid="{00000000-0002-0000-0200-000000000000}">
      <formula1>-1</formula1>
      <formula2>5</formula2>
    </dataValidation>
  </dataValidations>
  <hyperlinks>
    <hyperlink ref="C7" r:id="rId1" location="'Versión%20PRO'!A1" xr:uid="{00000000-0004-0000-0200-000000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1"/>
  <sheetViews>
    <sheetView showGridLines="0" zoomScaleNormal="100" workbookViewId="0">
      <pane xSplit="1" ySplit="8" topLeftCell="E9" activePane="bottomRight" state="frozen"/>
      <selection pane="topRight" activeCell="B1" sqref="B1"/>
      <selection pane="bottomLeft" activeCell="A9" sqref="A9"/>
      <selection pane="bottomRight"/>
    </sheetView>
  </sheetViews>
  <sheetFormatPr baseColWidth="10" defaultColWidth="8.7109375" defaultRowHeight="15" x14ac:dyDescent="0.25"/>
  <cols>
    <col min="1" max="1" width="34" customWidth="1"/>
    <col min="2" max="13" width="13" customWidth="1"/>
    <col min="14" max="15" width="15" customWidth="1"/>
  </cols>
  <sheetData>
    <row r="1" spans="1:15" ht="21.75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21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21.75" customHeight="1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3.75" customHeight="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5" ht="25.5" customHeight="1" x14ac:dyDescent="0.3">
      <c r="A5" s="11" t="s">
        <v>91</v>
      </c>
    </row>
    <row r="6" spans="1:15" x14ac:dyDescent="0.25">
      <c r="A6" s="12" t="str">
        <f>"Empresa: "&amp;Empresa&amp;"  ·  Cifras en "&amp;Moneda&amp;"  ·  Ene–Sep real · Oct–Dic proyectado"</f>
        <v>Empresa: Mi Empresa S.A.S.  ·  Cifras en COP  ·  Ene–Sep real · Oct–Dic proyectado</v>
      </c>
    </row>
    <row r="7" spans="1:15" x14ac:dyDescent="0.25">
      <c r="B7" s="37" t="s">
        <v>92</v>
      </c>
      <c r="D7" s="13" t="s">
        <v>2</v>
      </c>
      <c r="K7" s="38" t="s">
        <v>93</v>
      </c>
    </row>
    <row r="8" spans="1:15" ht="21.75" customHeight="1" x14ac:dyDescent="0.25">
      <c r="A8" s="39" t="s">
        <v>34</v>
      </c>
      <c r="B8" s="40" t="s">
        <v>94</v>
      </c>
      <c r="C8" s="40" t="s">
        <v>95</v>
      </c>
      <c r="D8" s="40" t="s">
        <v>96</v>
      </c>
      <c r="E8" s="40" t="s">
        <v>97</v>
      </c>
      <c r="F8" s="40" t="s">
        <v>98</v>
      </c>
      <c r="G8" s="40" t="s">
        <v>99</v>
      </c>
      <c r="H8" s="40" t="s">
        <v>100</v>
      </c>
      <c r="I8" s="40" t="s">
        <v>101</v>
      </c>
      <c r="J8" s="40" t="s">
        <v>102</v>
      </c>
      <c r="K8" s="41" t="s">
        <v>103</v>
      </c>
      <c r="L8" s="41" t="s">
        <v>104</v>
      </c>
      <c r="M8" s="41" t="s">
        <v>105</v>
      </c>
      <c r="N8" s="40" t="s">
        <v>106</v>
      </c>
      <c r="O8" s="40" t="s">
        <v>107</v>
      </c>
    </row>
    <row r="9" spans="1:15" x14ac:dyDescent="0.25">
      <c r="A9" s="42" t="s">
        <v>108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</row>
    <row r="10" spans="1:15" x14ac:dyDescent="0.25">
      <c r="A10" s="33" t="s">
        <v>109</v>
      </c>
      <c r="B10" s="43">
        <v>80000000</v>
      </c>
      <c r="C10" s="43">
        <v>82000000</v>
      </c>
      <c r="D10" s="43">
        <v>78000000</v>
      </c>
      <c r="E10" s="43">
        <v>85000000</v>
      </c>
      <c r="F10" s="43">
        <v>88000000</v>
      </c>
      <c r="G10" s="43">
        <v>90000000</v>
      </c>
      <c r="H10" s="43">
        <v>87000000</v>
      </c>
      <c r="I10" s="43">
        <v>92000000</v>
      </c>
      <c r="J10" s="43">
        <v>95000000</v>
      </c>
      <c r="K10" s="44">
        <f t="shared" ref="K10:M11" si="0">AVERAGE($H10:$J10)*(1+$O10)</f>
        <v>91333333.333333328</v>
      </c>
      <c r="L10" s="44">
        <f t="shared" si="0"/>
        <v>91333333.333333328</v>
      </c>
      <c r="M10" s="44">
        <f t="shared" si="0"/>
        <v>91333333.333333328</v>
      </c>
      <c r="N10" s="45">
        <f>SUM(B10:M10)</f>
        <v>1051000000.0000001</v>
      </c>
      <c r="O10" s="46">
        <v>0</v>
      </c>
    </row>
    <row r="11" spans="1:15" x14ac:dyDescent="0.25">
      <c r="A11" s="33" t="s">
        <v>110</v>
      </c>
      <c r="B11" s="43">
        <v>1200000</v>
      </c>
      <c r="C11" s="43">
        <v>1100000</v>
      </c>
      <c r="D11" s="43">
        <v>1300000</v>
      </c>
      <c r="E11" s="43">
        <v>1200000</v>
      </c>
      <c r="F11" s="43">
        <v>1000000</v>
      </c>
      <c r="G11" s="43">
        <v>1400000</v>
      </c>
      <c r="H11" s="43">
        <v>1200000</v>
      </c>
      <c r="I11" s="43">
        <v>1100000</v>
      </c>
      <c r="J11" s="43">
        <v>1300000</v>
      </c>
      <c r="K11" s="44">
        <f t="shared" si="0"/>
        <v>1200000</v>
      </c>
      <c r="L11" s="44">
        <f t="shared" si="0"/>
        <v>1200000</v>
      </c>
      <c r="M11" s="44">
        <f t="shared" si="0"/>
        <v>1200000</v>
      </c>
      <c r="N11" s="45">
        <f>SUM(B11:M11)</f>
        <v>14400000</v>
      </c>
      <c r="O11" s="46">
        <v>0</v>
      </c>
    </row>
    <row r="12" spans="1:15" x14ac:dyDescent="0.25">
      <c r="A12" s="47" t="s">
        <v>38</v>
      </c>
      <c r="B12" s="48">
        <f t="shared" ref="B12:M12" si="1">SUM(B10:B11)</f>
        <v>81200000</v>
      </c>
      <c r="C12" s="48">
        <f t="shared" si="1"/>
        <v>83100000</v>
      </c>
      <c r="D12" s="48">
        <f t="shared" si="1"/>
        <v>79300000</v>
      </c>
      <c r="E12" s="48">
        <f t="shared" si="1"/>
        <v>86200000</v>
      </c>
      <c r="F12" s="48">
        <f t="shared" si="1"/>
        <v>89000000</v>
      </c>
      <c r="G12" s="48">
        <f t="shared" si="1"/>
        <v>91400000</v>
      </c>
      <c r="H12" s="48">
        <f t="shared" si="1"/>
        <v>88200000</v>
      </c>
      <c r="I12" s="48">
        <f t="shared" si="1"/>
        <v>93100000</v>
      </c>
      <c r="J12" s="48">
        <f t="shared" si="1"/>
        <v>96300000</v>
      </c>
      <c r="K12" s="48">
        <f t="shared" si="1"/>
        <v>92533333.333333328</v>
      </c>
      <c r="L12" s="48">
        <f t="shared" si="1"/>
        <v>92533333.333333328</v>
      </c>
      <c r="M12" s="48">
        <f t="shared" si="1"/>
        <v>92533333.333333328</v>
      </c>
      <c r="N12" s="48">
        <f>SUM(B12:M12)</f>
        <v>1065400000.0000001</v>
      </c>
      <c r="O12" s="47"/>
    </row>
    <row r="13" spans="1:15" x14ac:dyDescent="0.25">
      <c r="A13" s="33" t="s">
        <v>111</v>
      </c>
      <c r="B13" s="43">
        <v>46400000</v>
      </c>
      <c r="C13" s="43">
        <v>47600000</v>
      </c>
      <c r="D13" s="43">
        <v>45200000</v>
      </c>
      <c r="E13" s="43">
        <v>49300000</v>
      </c>
      <c r="F13" s="43">
        <v>51000000</v>
      </c>
      <c r="G13" s="43">
        <v>52200000</v>
      </c>
      <c r="H13" s="43">
        <v>50500000</v>
      </c>
      <c r="I13" s="43">
        <v>53400000</v>
      </c>
      <c r="J13" s="43">
        <v>55100000</v>
      </c>
      <c r="K13" s="44">
        <f>AVERAGE($H13:$J13)*(1+$O13)</f>
        <v>53000000</v>
      </c>
      <c r="L13" s="44">
        <f>AVERAGE($H13:$J13)*(1+$O13)</f>
        <v>53000000</v>
      </c>
      <c r="M13" s="44">
        <f>AVERAGE($H13:$J13)*(1+$O13)</f>
        <v>53000000</v>
      </c>
      <c r="N13" s="45">
        <f>SUM(B13:M13)</f>
        <v>609700000</v>
      </c>
      <c r="O13" s="46">
        <v>0</v>
      </c>
    </row>
    <row r="14" spans="1:15" x14ac:dyDescent="0.25">
      <c r="A14" s="47" t="s">
        <v>39</v>
      </c>
      <c r="B14" s="48">
        <f t="shared" ref="B14:M14" si="2">B12-B13</f>
        <v>34800000</v>
      </c>
      <c r="C14" s="48">
        <f t="shared" si="2"/>
        <v>35500000</v>
      </c>
      <c r="D14" s="48">
        <f t="shared" si="2"/>
        <v>34100000</v>
      </c>
      <c r="E14" s="48">
        <f t="shared" si="2"/>
        <v>36900000</v>
      </c>
      <c r="F14" s="48">
        <f t="shared" si="2"/>
        <v>38000000</v>
      </c>
      <c r="G14" s="48">
        <f t="shared" si="2"/>
        <v>39200000</v>
      </c>
      <c r="H14" s="48">
        <f t="shared" si="2"/>
        <v>37700000</v>
      </c>
      <c r="I14" s="48">
        <f t="shared" si="2"/>
        <v>39700000</v>
      </c>
      <c r="J14" s="48">
        <f t="shared" si="2"/>
        <v>41200000</v>
      </c>
      <c r="K14" s="48">
        <f t="shared" si="2"/>
        <v>39533333.333333328</v>
      </c>
      <c r="L14" s="48">
        <f t="shared" si="2"/>
        <v>39533333.333333328</v>
      </c>
      <c r="M14" s="48">
        <f t="shared" si="2"/>
        <v>39533333.333333328</v>
      </c>
      <c r="N14" s="48">
        <f>SUM(B14:M14)</f>
        <v>455699999.99999994</v>
      </c>
      <c r="O14" s="47"/>
    </row>
    <row r="15" spans="1:15" x14ac:dyDescent="0.25">
      <c r="A15" s="29" t="s">
        <v>40</v>
      </c>
      <c r="B15" s="49">
        <f t="shared" ref="B15:N15" si="3">IFERROR(B14/B12,0)</f>
        <v>0.42857142857142855</v>
      </c>
      <c r="C15" s="49">
        <f t="shared" si="3"/>
        <v>0.42719614921780985</v>
      </c>
      <c r="D15" s="49">
        <f t="shared" si="3"/>
        <v>0.43001261034047922</v>
      </c>
      <c r="E15" s="49">
        <f t="shared" si="3"/>
        <v>0.42807424593967519</v>
      </c>
      <c r="F15" s="49">
        <f t="shared" si="3"/>
        <v>0.42696629213483145</v>
      </c>
      <c r="G15" s="49">
        <f t="shared" si="3"/>
        <v>0.42888402625820571</v>
      </c>
      <c r="H15" s="49">
        <f t="shared" si="3"/>
        <v>0.42743764172335602</v>
      </c>
      <c r="I15" s="49">
        <f t="shared" si="3"/>
        <v>0.42642320085929108</v>
      </c>
      <c r="J15" s="49">
        <f t="shared" si="3"/>
        <v>0.42782969885773625</v>
      </c>
      <c r="K15" s="49">
        <f t="shared" si="3"/>
        <v>0.42723342939481262</v>
      </c>
      <c r="L15" s="49">
        <f t="shared" si="3"/>
        <v>0.42723342939481262</v>
      </c>
      <c r="M15" s="49">
        <f t="shared" si="3"/>
        <v>0.42723342939481262</v>
      </c>
      <c r="N15" s="49">
        <f t="shared" si="3"/>
        <v>0.42772667542706955</v>
      </c>
      <c r="O15" s="29"/>
    </row>
    <row r="16" spans="1:15" x14ac:dyDescent="0.25">
      <c r="A16" s="42" t="s">
        <v>112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</row>
    <row r="17" spans="1:15" x14ac:dyDescent="0.25">
      <c r="A17" s="33" t="s">
        <v>64</v>
      </c>
      <c r="B17" s="43">
        <v>13500000</v>
      </c>
      <c r="C17" s="43">
        <v>13500000</v>
      </c>
      <c r="D17" s="43">
        <v>13500000</v>
      </c>
      <c r="E17" s="43">
        <v>13500000</v>
      </c>
      <c r="F17" s="43">
        <v>13500000</v>
      </c>
      <c r="G17" s="43">
        <v>13500000</v>
      </c>
      <c r="H17" s="43">
        <v>14200000</v>
      </c>
      <c r="I17" s="43">
        <v>14200000</v>
      </c>
      <c r="J17" s="43">
        <v>14200000</v>
      </c>
      <c r="K17" s="44">
        <f t="shared" ref="K17:M24" si="4">AVERAGE($H17:$J17)*(1+$O17)</f>
        <v>14200000</v>
      </c>
      <c r="L17" s="44">
        <f t="shared" si="4"/>
        <v>14200000</v>
      </c>
      <c r="M17" s="44">
        <f t="shared" si="4"/>
        <v>14200000</v>
      </c>
      <c r="N17" s="45">
        <f t="shared" ref="N17:N30" si="5">SUM(B17:M17)</f>
        <v>166200000</v>
      </c>
      <c r="O17" s="46">
        <v>0</v>
      </c>
    </row>
    <row r="18" spans="1:15" x14ac:dyDescent="0.25">
      <c r="A18" s="33" t="s">
        <v>65</v>
      </c>
      <c r="B18" s="43">
        <v>4500000</v>
      </c>
      <c r="C18" s="43">
        <v>4500000</v>
      </c>
      <c r="D18" s="43">
        <v>4500000</v>
      </c>
      <c r="E18" s="43">
        <v>4500000</v>
      </c>
      <c r="F18" s="43">
        <v>4500000</v>
      </c>
      <c r="G18" s="43">
        <v>4500000</v>
      </c>
      <c r="H18" s="43">
        <v>4500000</v>
      </c>
      <c r="I18" s="43">
        <v>4500000</v>
      </c>
      <c r="J18" s="43">
        <v>4500000</v>
      </c>
      <c r="K18" s="44">
        <f t="shared" si="4"/>
        <v>4500000</v>
      </c>
      <c r="L18" s="44">
        <f t="shared" si="4"/>
        <v>4500000</v>
      </c>
      <c r="M18" s="44">
        <f t="shared" si="4"/>
        <v>4500000</v>
      </c>
      <c r="N18" s="45">
        <f t="shared" si="5"/>
        <v>54000000</v>
      </c>
      <c r="O18" s="46">
        <v>0</v>
      </c>
    </row>
    <row r="19" spans="1:15" x14ac:dyDescent="0.25">
      <c r="A19" s="33" t="s">
        <v>66</v>
      </c>
      <c r="B19" s="43">
        <v>1100000</v>
      </c>
      <c r="C19" s="43">
        <v>1000000</v>
      </c>
      <c r="D19" s="43">
        <v>1100000</v>
      </c>
      <c r="E19" s="43">
        <v>1200000</v>
      </c>
      <c r="F19" s="43">
        <v>1100000</v>
      </c>
      <c r="G19" s="43">
        <v>1200000</v>
      </c>
      <c r="H19" s="43">
        <v>1100000</v>
      </c>
      <c r="I19" s="43">
        <v>1200000</v>
      </c>
      <c r="J19" s="43">
        <v>1200000</v>
      </c>
      <c r="K19" s="44">
        <f t="shared" si="4"/>
        <v>1166666.6666666667</v>
      </c>
      <c r="L19" s="44">
        <f t="shared" si="4"/>
        <v>1166666.6666666667</v>
      </c>
      <c r="M19" s="44">
        <f t="shared" si="4"/>
        <v>1166666.6666666667</v>
      </c>
      <c r="N19" s="45">
        <f t="shared" si="5"/>
        <v>13699999.999999998</v>
      </c>
      <c r="O19" s="46">
        <v>0</v>
      </c>
    </row>
    <row r="20" spans="1:15" x14ac:dyDescent="0.25">
      <c r="A20" s="33" t="s">
        <v>67</v>
      </c>
      <c r="B20" s="43">
        <v>2500000</v>
      </c>
      <c r="C20" s="43">
        <v>2500000</v>
      </c>
      <c r="D20" s="43">
        <v>2500000</v>
      </c>
      <c r="E20" s="43">
        <v>2500000</v>
      </c>
      <c r="F20" s="43">
        <v>2500000</v>
      </c>
      <c r="G20" s="43">
        <v>2500000</v>
      </c>
      <c r="H20" s="43">
        <v>2500000</v>
      </c>
      <c r="I20" s="43">
        <v>2500000</v>
      </c>
      <c r="J20" s="43">
        <v>2500000</v>
      </c>
      <c r="K20" s="44">
        <f t="shared" si="4"/>
        <v>2500000</v>
      </c>
      <c r="L20" s="44">
        <f t="shared" si="4"/>
        <v>2500000</v>
      </c>
      <c r="M20" s="44">
        <f t="shared" si="4"/>
        <v>2500000</v>
      </c>
      <c r="N20" s="45">
        <f t="shared" si="5"/>
        <v>30000000</v>
      </c>
      <c r="O20" s="46">
        <v>0</v>
      </c>
    </row>
    <row r="21" spans="1:15" x14ac:dyDescent="0.25">
      <c r="A21" s="33" t="s">
        <v>68</v>
      </c>
      <c r="B21" s="43">
        <v>2000000</v>
      </c>
      <c r="C21" s="43">
        <v>1800000</v>
      </c>
      <c r="D21" s="43">
        <v>2200000</v>
      </c>
      <c r="E21" s="43">
        <v>2000000</v>
      </c>
      <c r="F21" s="43">
        <v>2500000</v>
      </c>
      <c r="G21" s="43">
        <v>2000000</v>
      </c>
      <c r="H21" s="43">
        <v>1900000</v>
      </c>
      <c r="I21" s="43">
        <v>2100000</v>
      </c>
      <c r="J21" s="43">
        <v>2400000</v>
      </c>
      <c r="K21" s="44">
        <f t="shared" si="4"/>
        <v>2133333.3333333335</v>
      </c>
      <c r="L21" s="44">
        <f t="shared" si="4"/>
        <v>2133333.3333333335</v>
      </c>
      <c r="M21" s="44">
        <f t="shared" si="4"/>
        <v>2133333.3333333335</v>
      </c>
      <c r="N21" s="45">
        <f t="shared" si="5"/>
        <v>25299999.999999996</v>
      </c>
      <c r="O21" s="46">
        <v>0</v>
      </c>
    </row>
    <row r="22" spans="1:15" x14ac:dyDescent="0.25">
      <c r="A22" s="33" t="s">
        <v>69</v>
      </c>
      <c r="B22" s="43">
        <v>900000</v>
      </c>
      <c r="C22" s="43">
        <v>900000</v>
      </c>
      <c r="D22" s="43">
        <v>900000</v>
      </c>
      <c r="E22" s="43">
        <v>900000</v>
      </c>
      <c r="F22" s="43">
        <v>900000</v>
      </c>
      <c r="G22" s="43">
        <v>900000</v>
      </c>
      <c r="H22" s="43">
        <v>900000</v>
      </c>
      <c r="I22" s="43">
        <v>900000</v>
      </c>
      <c r="J22" s="43">
        <v>900000</v>
      </c>
      <c r="K22" s="44">
        <f t="shared" si="4"/>
        <v>900000</v>
      </c>
      <c r="L22" s="44">
        <f t="shared" si="4"/>
        <v>900000</v>
      </c>
      <c r="M22" s="44">
        <f t="shared" si="4"/>
        <v>900000</v>
      </c>
      <c r="N22" s="45">
        <f t="shared" si="5"/>
        <v>10800000</v>
      </c>
      <c r="O22" s="46">
        <v>0</v>
      </c>
    </row>
    <row r="23" spans="1:15" x14ac:dyDescent="0.25">
      <c r="A23" s="33" t="s">
        <v>70</v>
      </c>
      <c r="B23" s="43">
        <v>1500000</v>
      </c>
      <c r="C23" s="43">
        <v>1500000</v>
      </c>
      <c r="D23" s="43">
        <v>1500000</v>
      </c>
      <c r="E23" s="43">
        <v>1500000</v>
      </c>
      <c r="F23" s="43">
        <v>1500000</v>
      </c>
      <c r="G23" s="43">
        <v>1500000</v>
      </c>
      <c r="H23" s="43">
        <v>1500000</v>
      </c>
      <c r="I23" s="43">
        <v>1500000</v>
      </c>
      <c r="J23" s="43">
        <v>1500000</v>
      </c>
      <c r="K23" s="44">
        <f t="shared" si="4"/>
        <v>1500000</v>
      </c>
      <c r="L23" s="44">
        <f t="shared" si="4"/>
        <v>1500000</v>
      </c>
      <c r="M23" s="44">
        <f t="shared" si="4"/>
        <v>1500000</v>
      </c>
      <c r="N23" s="45">
        <f t="shared" si="5"/>
        <v>18000000</v>
      </c>
      <c r="O23" s="46">
        <v>0</v>
      </c>
    </row>
    <row r="24" spans="1:15" x14ac:dyDescent="0.25">
      <c r="A24" s="33" t="s">
        <v>71</v>
      </c>
      <c r="B24" s="43">
        <v>1800000</v>
      </c>
      <c r="C24" s="43">
        <v>1600000</v>
      </c>
      <c r="D24" s="43">
        <v>1900000</v>
      </c>
      <c r="E24" s="43">
        <v>1700000</v>
      </c>
      <c r="F24" s="43">
        <v>1800000</v>
      </c>
      <c r="G24" s="43">
        <v>2000000</v>
      </c>
      <c r="H24" s="43">
        <v>1700000</v>
      </c>
      <c r="I24" s="43">
        <v>1900000</v>
      </c>
      <c r="J24" s="43">
        <v>1800000</v>
      </c>
      <c r="K24" s="44">
        <f t="shared" si="4"/>
        <v>1800000</v>
      </c>
      <c r="L24" s="44">
        <f t="shared" si="4"/>
        <v>1800000</v>
      </c>
      <c r="M24" s="44">
        <f t="shared" si="4"/>
        <v>1800000</v>
      </c>
      <c r="N24" s="45">
        <f t="shared" si="5"/>
        <v>21600000</v>
      </c>
      <c r="O24" s="46">
        <v>0</v>
      </c>
    </row>
    <row r="25" spans="1:15" x14ac:dyDescent="0.25">
      <c r="A25" s="47" t="s">
        <v>113</v>
      </c>
      <c r="B25" s="48">
        <f t="shared" ref="B25:M25" si="6">SUM(B17:B24)</f>
        <v>27800000</v>
      </c>
      <c r="C25" s="48">
        <f t="shared" si="6"/>
        <v>27300000</v>
      </c>
      <c r="D25" s="48">
        <f t="shared" si="6"/>
        <v>28100000</v>
      </c>
      <c r="E25" s="48">
        <f t="shared" si="6"/>
        <v>27800000</v>
      </c>
      <c r="F25" s="48">
        <f t="shared" si="6"/>
        <v>28300000</v>
      </c>
      <c r="G25" s="48">
        <f t="shared" si="6"/>
        <v>28100000</v>
      </c>
      <c r="H25" s="48">
        <f t="shared" si="6"/>
        <v>28300000</v>
      </c>
      <c r="I25" s="48">
        <f t="shared" si="6"/>
        <v>28800000</v>
      </c>
      <c r="J25" s="48">
        <f t="shared" si="6"/>
        <v>29000000</v>
      </c>
      <c r="K25" s="48">
        <f t="shared" si="6"/>
        <v>28700000</v>
      </c>
      <c r="L25" s="48">
        <f t="shared" si="6"/>
        <v>28700000</v>
      </c>
      <c r="M25" s="48">
        <f t="shared" si="6"/>
        <v>28700000</v>
      </c>
      <c r="N25" s="48">
        <f t="shared" si="5"/>
        <v>339600000</v>
      </c>
      <c r="O25" s="47"/>
    </row>
    <row r="26" spans="1:15" x14ac:dyDescent="0.25">
      <c r="A26" s="47" t="s">
        <v>42</v>
      </c>
      <c r="B26" s="48">
        <f t="shared" ref="B26:M26" si="7">B14-B25</f>
        <v>7000000</v>
      </c>
      <c r="C26" s="48">
        <f t="shared" si="7"/>
        <v>8200000</v>
      </c>
      <c r="D26" s="48">
        <f t="shared" si="7"/>
        <v>6000000</v>
      </c>
      <c r="E26" s="48">
        <f t="shared" si="7"/>
        <v>9100000</v>
      </c>
      <c r="F26" s="48">
        <f t="shared" si="7"/>
        <v>9700000</v>
      </c>
      <c r="G26" s="48">
        <f t="shared" si="7"/>
        <v>11100000</v>
      </c>
      <c r="H26" s="48">
        <f t="shared" si="7"/>
        <v>9400000</v>
      </c>
      <c r="I26" s="48">
        <f t="shared" si="7"/>
        <v>10900000</v>
      </c>
      <c r="J26" s="48">
        <f t="shared" si="7"/>
        <v>12200000</v>
      </c>
      <c r="K26" s="48">
        <f t="shared" si="7"/>
        <v>10833333.333333328</v>
      </c>
      <c r="L26" s="48">
        <f t="shared" si="7"/>
        <v>10833333.333333328</v>
      </c>
      <c r="M26" s="48">
        <f t="shared" si="7"/>
        <v>10833333.333333328</v>
      </c>
      <c r="N26" s="48">
        <f t="shared" si="5"/>
        <v>116099999.99999999</v>
      </c>
      <c r="O26" s="47"/>
    </row>
    <row r="27" spans="1:15" x14ac:dyDescent="0.25">
      <c r="A27" s="33" t="s">
        <v>114</v>
      </c>
      <c r="B27" s="43">
        <v>1200000</v>
      </c>
      <c r="C27" s="43">
        <v>1200000</v>
      </c>
      <c r="D27" s="43">
        <v>1200000</v>
      </c>
      <c r="E27" s="43">
        <v>1150000</v>
      </c>
      <c r="F27" s="43">
        <v>1150000</v>
      </c>
      <c r="G27" s="43">
        <v>1100000</v>
      </c>
      <c r="H27" s="43">
        <v>1100000</v>
      </c>
      <c r="I27" s="43">
        <v>1050000</v>
      </c>
      <c r="J27" s="43">
        <v>1050000</v>
      </c>
      <c r="K27" s="44">
        <f>AVERAGE($H27:$J27)*(1+$O27)</f>
        <v>1066666.6666666667</v>
      </c>
      <c r="L27" s="44">
        <f>AVERAGE($H27:$J27)*(1+$O27)</f>
        <v>1066666.6666666667</v>
      </c>
      <c r="M27" s="44">
        <f>AVERAGE($H27:$J27)*(1+$O27)</f>
        <v>1066666.6666666667</v>
      </c>
      <c r="N27" s="45">
        <f t="shared" si="5"/>
        <v>13399999.999999998</v>
      </c>
      <c r="O27" s="46">
        <v>0</v>
      </c>
    </row>
    <row r="28" spans="1:15" x14ac:dyDescent="0.25">
      <c r="A28" s="47" t="s">
        <v>115</v>
      </c>
      <c r="B28" s="48">
        <f t="shared" ref="B28:M28" si="8">B26-B27</f>
        <v>5800000</v>
      </c>
      <c r="C28" s="48">
        <f t="shared" si="8"/>
        <v>7000000</v>
      </c>
      <c r="D28" s="48">
        <f t="shared" si="8"/>
        <v>4800000</v>
      </c>
      <c r="E28" s="48">
        <f t="shared" si="8"/>
        <v>7950000</v>
      </c>
      <c r="F28" s="48">
        <f t="shared" si="8"/>
        <v>8550000</v>
      </c>
      <c r="G28" s="48">
        <f t="shared" si="8"/>
        <v>10000000</v>
      </c>
      <c r="H28" s="48">
        <f t="shared" si="8"/>
        <v>8300000</v>
      </c>
      <c r="I28" s="48">
        <f t="shared" si="8"/>
        <v>9850000</v>
      </c>
      <c r="J28" s="48">
        <f t="shared" si="8"/>
        <v>11150000</v>
      </c>
      <c r="K28" s="48">
        <f t="shared" si="8"/>
        <v>9766666.6666666623</v>
      </c>
      <c r="L28" s="48">
        <f t="shared" si="8"/>
        <v>9766666.6666666623</v>
      </c>
      <c r="M28" s="48">
        <f t="shared" si="8"/>
        <v>9766666.6666666623</v>
      </c>
      <c r="N28" s="48">
        <f t="shared" si="5"/>
        <v>102699999.99999997</v>
      </c>
      <c r="O28" s="47"/>
    </row>
    <row r="29" spans="1:15" x14ac:dyDescent="0.25">
      <c r="A29" s="33" t="s">
        <v>116</v>
      </c>
      <c r="B29" s="44">
        <f t="shared" ref="B29:M29" si="9">MAX(0,B28)*Tasa_Renta</f>
        <v>2029999.9999999998</v>
      </c>
      <c r="C29" s="44">
        <f t="shared" si="9"/>
        <v>2450000</v>
      </c>
      <c r="D29" s="44">
        <f t="shared" si="9"/>
        <v>1680000</v>
      </c>
      <c r="E29" s="44">
        <f t="shared" si="9"/>
        <v>2782500</v>
      </c>
      <c r="F29" s="44">
        <f t="shared" si="9"/>
        <v>2992500</v>
      </c>
      <c r="G29" s="44">
        <f t="shared" si="9"/>
        <v>3500000</v>
      </c>
      <c r="H29" s="44">
        <f t="shared" si="9"/>
        <v>2905000</v>
      </c>
      <c r="I29" s="44">
        <f t="shared" si="9"/>
        <v>3447500</v>
      </c>
      <c r="J29" s="44">
        <f t="shared" si="9"/>
        <v>3902499.9999999995</v>
      </c>
      <c r="K29" s="44">
        <f t="shared" si="9"/>
        <v>3418333.3333333316</v>
      </c>
      <c r="L29" s="44">
        <f t="shared" si="9"/>
        <v>3418333.3333333316</v>
      </c>
      <c r="M29" s="44">
        <f t="shared" si="9"/>
        <v>3418333.3333333316</v>
      </c>
      <c r="N29" s="45">
        <f t="shared" si="5"/>
        <v>35944999.999999993</v>
      </c>
      <c r="O29" s="33"/>
    </row>
    <row r="30" spans="1:15" x14ac:dyDescent="0.25">
      <c r="A30" s="50" t="s">
        <v>43</v>
      </c>
      <c r="B30" s="51">
        <f t="shared" ref="B30:M30" si="10">B28-B29</f>
        <v>3770000</v>
      </c>
      <c r="C30" s="51">
        <f t="shared" si="10"/>
        <v>4550000</v>
      </c>
      <c r="D30" s="51">
        <f t="shared" si="10"/>
        <v>3120000</v>
      </c>
      <c r="E30" s="51">
        <f t="shared" si="10"/>
        <v>5167500</v>
      </c>
      <c r="F30" s="51">
        <f t="shared" si="10"/>
        <v>5557500</v>
      </c>
      <c r="G30" s="51">
        <f t="shared" si="10"/>
        <v>6500000</v>
      </c>
      <c r="H30" s="51">
        <f t="shared" si="10"/>
        <v>5395000</v>
      </c>
      <c r="I30" s="51">
        <f t="shared" si="10"/>
        <v>6402500</v>
      </c>
      <c r="J30" s="51">
        <f t="shared" si="10"/>
        <v>7247500</v>
      </c>
      <c r="K30" s="51">
        <f t="shared" si="10"/>
        <v>6348333.3333333302</v>
      </c>
      <c r="L30" s="51">
        <f t="shared" si="10"/>
        <v>6348333.3333333302</v>
      </c>
      <c r="M30" s="51">
        <f t="shared" si="10"/>
        <v>6348333.3333333302</v>
      </c>
      <c r="N30" s="51">
        <f t="shared" si="5"/>
        <v>66754999.999999985</v>
      </c>
      <c r="O30" s="50"/>
    </row>
    <row r="31" spans="1:15" x14ac:dyDescent="0.25">
      <c r="A31" s="29" t="s">
        <v>44</v>
      </c>
      <c r="B31" s="49">
        <f t="shared" ref="B31:N31" si="11">IFERROR(B30/B12,0)</f>
        <v>4.642857142857143E-2</v>
      </c>
      <c r="C31" s="49">
        <f t="shared" si="11"/>
        <v>5.4753309265944648E-2</v>
      </c>
      <c r="D31" s="49">
        <f t="shared" si="11"/>
        <v>3.9344262295081971E-2</v>
      </c>
      <c r="E31" s="49">
        <f t="shared" si="11"/>
        <v>5.9947795823665891E-2</v>
      </c>
      <c r="F31" s="49">
        <f t="shared" si="11"/>
        <v>6.2443820224719102E-2</v>
      </c>
      <c r="G31" s="49">
        <f t="shared" si="11"/>
        <v>7.1115973741794306E-2</v>
      </c>
      <c r="H31" s="49">
        <f t="shared" si="11"/>
        <v>6.1167800453514741E-2</v>
      </c>
      <c r="I31" s="49">
        <f t="shared" si="11"/>
        <v>6.8770139634801289E-2</v>
      </c>
      <c r="J31" s="49">
        <f t="shared" si="11"/>
        <v>7.5259605399792318E-2</v>
      </c>
      <c r="K31" s="49">
        <f t="shared" si="11"/>
        <v>6.8605907780979802E-2</v>
      </c>
      <c r="L31" s="49">
        <f t="shared" si="11"/>
        <v>6.8605907780979802E-2</v>
      </c>
      <c r="M31" s="49">
        <f t="shared" si="11"/>
        <v>6.8605907780979802E-2</v>
      </c>
      <c r="N31" s="49">
        <f t="shared" si="11"/>
        <v>6.2657217946311225E-2</v>
      </c>
      <c r="O31" s="29"/>
    </row>
  </sheetData>
  <hyperlinks>
    <hyperlink ref="D7" r:id="rId1" location="'Versión%20PRO'!A1" xr:uid="{00000000-0004-0000-0300-000000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31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baseColWidth="10" defaultColWidth="8.7109375" defaultRowHeight="15" x14ac:dyDescent="0.25"/>
  <cols>
    <col min="1" max="1" width="34" customWidth="1"/>
    <col min="2" max="2" width="12" customWidth="1"/>
    <col min="3" max="14" width="13" customWidth="1"/>
    <col min="15" max="16" width="15" customWidth="1"/>
    <col min="17" max="17" width="11" customWidth="1"/>
  </cols>
  <sheetData>
    <row r="1" spans="1:17" ht="21.75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 ht="21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1.75" customHeight="1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3.75" customHeight="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spans="1:17" ht="25.5" customHeight="1" x14ac:dyDescent="0.3">
      <c r="A5" s="11" t="s">
        <v>117</v>
      </c>
    </row>
    <row r="6" spans="1:17" x14ac:dyDescent="0.25">
      <c r="A6" s="12" t="str">
        <f>"Empresa: "&amp;Empresa&amp;"  ·  Cifras en "&amp;Moneda&amp;"  ·  Base: cierre 2026 mes a mes"</f>
        <v>Empresa: Mi Empresa S.A.S.  ·  Cifras en COP  ·  Base: cierre 2026 mes a mes</v>
      </c>
    </row>
    <row r="7" spans="1:17" x14ac:dyDescent="0.25">
      <c r="I7" s="13" t="s">
        <v>2</v>
      </c>
    </row>
    <row r="8" spans="1:17" ht="27.75" customHeight="1" x14ac:dyDescent="0.25">
      <c r="A8" s="52" t="s">
        <v>34</v>
      </c>
      <c r="B8" s="53" t="s">
        <v>118</v>
      </c>
      <c r="C8" s="53" t="s">
        <v>119</v>
      </c>
      <c r="D8" s="53" t="s">
        <v>120</v>
      </c>
      <c r="E8" s="53" t="s">
        <v>121</v>
      </c>
      <c r="F8" s="53" t="s">
        <v>122</v>
      </c>
      <c r="G8" s="53" t="s">
        <v>123</v>
      </c>
      <c r="H8" s="53" t="s">
        <v>124</v>
      </c>
      <c r="I8" s="53" t="s">
        <v>125</v>
      </c>
      <c r="J8" s="53" t="s">
        <v>126</v>
      </c>
      <c r="K8" s="53" t="s">
        <v>127</v>
      </c>
      <c r="L8" s="53" t="s">
        <v>128</v>
      </c>
      <c r="M8" s="53" t="s">
        <v>129</v>
      </c>
      <c r="N8" s="53" t="s">
        <v>130</v>
      </c>
      <c r="O8" s="53" t="s">
        <v>131</v>
      </c>
      <c r="P8" s="53" t="s">
        <v>35</v>
      </c>
      <c r="Q8" s="53" t="s">
        <v>132</v>
      </c>
    </row>
    <row r="9" spans="1:17" x14ac:dyDescent="0.25">
      <c r="A9" s="42" t="s">
        <v>108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</row>
    <row r="10" spans="1:17" x14ac:dyDescent="0.25">
      <c r="A10" s="33" t="s">
        <v>109</v>
      </c>
      <c r="B10" s="54">
        <f>Crec_Ventas</f>
        <v>0.08</v>
      </c>
      <c r="C10" s="44">
        <f>'Cierre 2026'!B10*(1+$B10)</f>
        <v>86400000</v>
      </c>
      <c r="D10" s="44">
        <f>'Cierre 2026'!C10*(1+$B10)</f>
        <v>88560000</v>
      </c>
      <c r="E10" s="44">
        <f>'Cierre 2026'!D10*(1+$B10)</f>
        <v>84240000</v>
      </c>
      <c r="F10" s="44">
        <f>'Cierre 2026'!E10*(1+$B10)</f>
        <v>91800000</v>
      </c>
      <c r="G10" s="44">
        <f>'Cierre 2026'!F10*(1+$B10)</f>
        <v>95040000</v>
      </c>
      <c r="H10" s="44">
        <f>'Cierre 2026'!G10*(1+$B10)</f>
        <v>97200000</v>
      </c>
      <c r="I10" s="44">
        <f>'Cierre 2026'!H10*(1+$B10)</f>
        <v>93960000</v>
      </c>
      <c r="J10" s="44">
        <f>'Cierre 2026'!I10*(1+$B10)</f>
        <v>99360000</v>
      </c>
      <c r="K10" s="44">
        <f>'Cierre 2026'!J10*(1+$B10)</f>
        <v>102600000</v>
      </c>
      <c r="L10" s="44">
        <f>'Cierre 2026'!K10*(1+$B10)</f>
        <v>98640000</v>
      </c>
      <c r="M10" s="44">
        <f>'Cierre 2026'!L10*(1+$B10)</f>
        <v>98640000</v>
      </c>
      <c r="N10" s="44">
        <f>'Cierre 2026'!M10*(1+$B10)</f>
        <v>98640000</v>
      </c>
      <c r="O10" s="45">
        <f>SUM(C10:N10)</f>
        <v>1135080000</v>
      </c>
      <c r="P10" s="27">
        <f>'Cierre 2026'!N10</f>
        <v>1051000000.0000001</v>
      </c>
      <c r="Q10" s="28">
        <f>IFERROR(O10/P10-1,0)</f>
        <v>7.9999999999999849E-2</v>
      </c>
    </row>
    <row r="11" spans="1:17" x14ac:dyDescent="0.25">
      <c r="A11" s="33" t="s">
        <v>110</v>
      </c>
      <c r="B11" s="54">
        <f>Inflacion</f>
        <v>4.4999999999999998E-2</v>
      </c>
      <c r="C11" s="44">
        <f>'Cierre 2026'!B11*(1+$B11)</f>
        <v>1254000</v>
      </c>
      <c r="D11" s="44">
        <f>'Cierre 2026'!C11*(1+$B11)</f>
        <v>1149500</v>
      </c>
      <c r="E11" s="44">
        <f>'Cierre 2026'!D11*(1+$B11)</f>
        <v>1358500</v>
      </c>
      <c r="F11" s="44">
        <f>'Cierre 2026'!E11*(1+$B11)</f>
        <v>1254000</v>
      </c>
      <c r="G11" s="44">
        <f>'Cierre 2026'!F11*(1+$B11)</f>
        <v>1044999.9999999999</v>
      </c>
      <c r="H11" s="44">
        <f>'Cierre 2026'!G11*(1+$B11)</f>
        <v>1463000</v>
      </c>
      <c r="I11" s="44">
        <f>'Cierre 2026'!H11*(1+$B11)</f>
        <v>1254000</v>
      </c>
      <c r="J11" s="44">
        <f>'Cierre 2026'!I11*(1+$B11)</f>
        <v>1149500</v>
      </c>
      <c r="K11" s="44">
        <f>'Cierre 2026'!J11*(1+$B11)</f>
        <v>1358500</v>
      </c>
      <c r="L11" s="44">
        <f>'Cierre 2026'!K11*(1+$B11)</f>
        <v>1254000</v>
      </c>
      <c r="M11" s="44">
        <f>'Cierre 2026'!L11*(1+$B11)</f>
        <v>1254000</v>
      </c>
      <c r="N11" s="44">
        <f>'Cierre 2026'!M11*(1+$B11)</f>
        <v>1254000</v>
      </c>
      <c r="O11" s="45">
        <f>SUM(C11:N11)</f>
        <v>15048000</v>
      </c>
      <c r="P11" s="27">
        <f>'Cierre 2026'!N11</f>
        <v>14400000</v>
      </c>
      <c r="Q11" s="28">
        <f>IFERROR(O11/P11-1,0)</f>
        <v>4.4999999999999929E-2</v>
      </c>
    </row>
    <row r="12" spans="1:17" x14ac:dyDescent="0.25">
      <c r="A12" s="47" t="s">
        <v>38</v>
      </c>
      <c r="B12" s="47"/>
      <c r="C12" s="48">
        <f t="shared" ref="C12:N12" si="0">SUM(C10:C11)</f>
        <v>87654000</v>
      </c>
      <c r="D12" s="48">
        <f t="shared" si="0"/>
        <v>89709500</v>
      </c>
      <c r="E12" s="48">
        <f t="shared" si="0"/>
        <v>85598500</v>
      </c>
      <c r="F12" s="48">
        <f t="shared" si="0"/>
        <v>93054000</v>
      </c>
      <c r="G12" s="48">
        <f t="shared" si="0"/>
        <v>96085000</v>
      </c>
      <c r="H12" s="48">
        <f t="shared" si="0"/>
        <v>98663000</v>
      </c>
      <c r="I12" s="48">
        <f t="shared" si="0"/>
        <v>95214000</v>
      </c>
      <c r="J12" s="48">
        <f t="shared" si="0"/>
        <v>100509500</v>
      </c>
      <c r="K12" s="48">
        <f t="shared" si="0"/>
        <v>103958500</v>
      </c>
      <c r="L12" s="48">
        <f t="shared" si="0"/>
        <v>99894000</v>
      </c>
      <c r="M12" s="48">
        <f t="shared" si="0"/>
        <v>99894000</v>
      </c>
      <c r="N12" s="48">
        <f t="shared" si="0"/>
        <v>99894000</v>
      </c>
      <c r="O12" s="48">
        <f>SUM(C12:N12)</f>
        <v>1150128000</v>
      </c>
      <c r="P12" s="48">
        <f>'Cierre 2026'!N12</f>
        <v>1065400000.0000001</v>
      </c>
      <c r="Q12" s="55">
        <f>IFERROR(O12/P12-1,0)</f>
        <v>7.9526938239158795E-2</v>
      </c>
    </row>
    <row r="13" spans="1:17" x14ac:dyDescent="0.25">
      <c r="A13" s="33" t="s">
        <v>111</v>
      </c>
      <c r="B13" s="56">
        <f>IFERROR('Cierre 2026'!N13/'Cierre 2026'!N10,0)</f>
        <v>0.58011417697431011</v>
      </c>
      <c r="C13" s="44">
        <f t="shared" ref="C13:N13" si="1">C10*$B13</f>
        <v>50121864.890580393</v>
      </c>
      <c r="D13" s="44">
        <f t="shared" si="1"/>
        <v>51374911.512844905</v>
      </c>
      <c r="E13" s="44">
        <f t="shared" si="1"/>
        <v>48868818.268315881</v>
      </c>
      <c r="F13" s="44">
        <f t="shared" si="1"/>
        <v>53254481.446241669</v>
      </c>
      <c r="G13" s="44">
        <f t="shared" si="1"/>
        <v>55134051.379638433</v>
      </c>
      <c r="H13" s="44">
        <f t="shared" si="1"/>
        <v>56387098.001902945</v>
      </c>
      <c r="I13" s="44">
        <f t="shared" si="1"/>
        <v>54507528.068506181</v>
      </c>
      <c r="J13" s="44">
        <f t="shared" si="1"/>
        <v>57640144.62416745</v>
      </c>
      <c r="K13" s="44">
        <f t="shared" si="1"/>
        <v>59519714.557564221</v>
      </c>
      <c r="L13" s="44">
        <f t="shared" si="1"/>
        <v>57222462.416745953</v>
      </c>
      <c r="M13" s="44">
        <f t="shared" si="1"/>
        <v>57222462.416745953</v>
      </c>
      <c r="N13" s="44">
        <f t="shared" si="1"/>
        <v>57222462.416745953</v>
      </c>
      <c r="O13" s="45">
        <f>SUM(C13:N13)</f>
        <v>658475999.99999976</v>
      </c>
      <c r="P13" s="27">
        <f>'Cierre 2026'!N13</f>
        <v>609700000</v>
      </c>
      <c r="Q13" s="28">
        <f>IFERROR(O13/P13-1,0)</f>
        <v>7.9999999999999627E-2</v>
      </c>
    </row>
    <row r="14" spans="1:17" x14ac:dyDescent="0.25">
      <c r="A14" s="47" t="s">
        <v>39</v>
      </c>
      <c r="B14" s="47"/>
      <c r="C14" s="48">
        <f t="shared" ref="C14:N14" si="2">C12-C13</f>
        <v>37532135.109419607</v>
      </c>
      <c r="D14" s="48">
        <f t="shared" si="2"/>
        <v>38334588.487155095</v>
      </c>
      <c r="E14" s="48">
        <f t="shared" si="2"/>
        <v>36729681.731684119</v>
      </c>
      <c r="F14" s="48">
        <f t="shared" si="2"/>
        <v>39799518.553758331</v>
      </c>
      <c r="G14" s="48">
        <f t="shared" si="2"/>
        <v>40950948.620361567</v>
      </c>
      <c r="H14" s="48">
        <f t="shared" si="2"/>
        <v>42275901.998097055</v>
      </c>
      <c r="I14" s="48">
        <f t="shared" si="2"/>
        <v>40706471.931493819</v>
      </c>
      <c r="J14" s="48">
        <f t="shared" si="2"/>
        <v>42869355.37583255</v>
      </c>
      <c r="K14" s="48">
        <f t="shared" si="2"/>
        <v>44438785.442435779</v>
      </c>
      <c r="L14" s="48">
        <f t="shared" si="2"/>
        <v>42671537.583254047</v>
      </c>
      <c r="M14" s="48">
        <f t="shared" si="2"/>
        <v>42671537.583254047</v>
      </c>
      <c r="N14" s="48">
        <f t="shared" si="2"/>
        <v>42671537.583254047</v>
      </c>
      <c r="O14" s="48">
        <f>SUM(C14:N14)</f>
        <v>491652000.00000006</v>
      </c>
      <c r="P14" s="48">
        <f>'Cierre 2026'!N14</f>
        <v>455699999.99999994</v>
      </c>
      <c r="Q14" s="55">
        <f>IFERROR(O14/P14-1,0)</f>
        <v>7.8894009216590177E-2</v>
      </c>
    </row>
    <row r="15" spans="1:17" x14ac:dyDescent="0.25">
      <c r="A15" s="29" t="s">
        <v>40</v>
      </c>
      <c r="B15" s="29"/>
      <c r="C15" s="49">
        <f t="shared" ref="C15:O15" si="3">IFERROR(C14/C12,0)</f>
        <v>0.42818508122184507</v>
      </c>
      <c r="D15" s="49">
        <f t="shared" si="3"/>
        <v>0.42731916337907461</v>
      </c>
      <c r="E15" s="49">
        <f t="shared" si="3"/>
        <v>0.42909258610471118</v>
      </c>
      <c r="F15" s="49">
        <f t="shared" si="3"/>
        <v>0.42770346845657714</v>
      </c>
      <c r="G15" s="49">
        <f t="shared" si="3"/>
        <v>0.42619502128700176</v>
      </c>
      <c r="H15" s="49">
        <f t="shared" si="3"/>
        <v>0.42848790324738811</v>
      </c>
      <c r="I15" s="49">
        <f t="shared" si="3"/>
        <v>0.42752611938889051</v>
      </c>
      <c r="J15" s="49">
        <f t="shared" si="3"/>
        <v>0.42652043215648822</v>
      </c>
      <c r="K15" s="49">
        <f t="shared" si="3"/>
        <v>0.42746658947979993</v>
      </c>
      <c r="L15" s="49">
        <f t="shared" si="3"/>
        <v>0.42716817409708335</v>
      </c>
      <c r="M15" s="49">
        <f t="shared" si="3"/>
        <v>0.42716817409708335</v>
      </c>
      <c r="N15" s="49">
        <f t="shared" si="3"/>
        <v>0.42716817409708335</v>
      </c>
      <c r="O15" s="49">
        <f t="shared" si="3"/>
        <v>0.4274758983347941</v>
      </c>
      <c r="P15" s="49">
        <f>'Cierre 2026'!N15</f>
        <v>0.42772667542706955</v>
      </c>
      <c r="Q15" s="49">
        <f>O15-P15</f>
        <v>-2.5077709227544487E-4</v>
      </c>
    </row>
    <row r="16" spans="1:17" x14ac:dyDescent="0.25">
      <c r="A16" s="42" t="s">
        <v>112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</row>
    <row r="17" spans="1:17" x14ac:dyDescent="0.25">
      <c r="A17" s="33" t="s">
        <v>64</v>
      </c>
      <c r="B17" s="54">
        <f>Incr_Salarial</f>
        <v>7.0000000000000007E-2</v>
      </c>
      <c r="C17" s="44">
        <f>'Cierre 2026'!B17*(1+$B17)</f>
        <v>14445000</v>
      </c>
      <c r="D17" s="44">
        <f>'Cierre 2026'!C17*(1+$B17)</f>
        <v>14445000</v>
      </c>
      <c r="E17" s="44">
        <f>'Cierre 2026'!D17*(1+$B17)</f>
        <v>14445000</v>
      </c>
      <c r="F17" s="44">
        <f>'Cierre 2026'!E17*(1+$B17)</f>
        <v>14445000</v>
      </c>
      <c r="G17" s="44">
        <f>'Cierre 2026'!F17*(1+$B17)</f>
        <v>14445000</v>
      </c>
      <c r="H17" s="44">
        <f>'Cierre 2026'!G17*(1+$B17)</f>
        <v>14445000</v>
      </c>
      <c r="I17" s="44">
        <f>'Cierre 2026'!H17*(1+$B17)</f>
        <v>15194000</v>
      </c>
      <c r="J17" s="44">
        <f>'Cierre 2026'!I17*(1+$B17)</f>
        <v>15194000</v>
      </c>
      <c r="K17" s="44">
        <f>'Cierre 2026'!J17*(1+$B17)</f>
        <v>15194000</v>
      </c>
      <c r="L17" s="44">
        <f>'Cierre 2026'!K17*(1+$B17)</f>
        <v>15194000</v>
      </c>
      <c r="M17" s="44">
        <f>'Cierre 2026'!L17*(1+$B17)</f>
        <v>15194000</v>
      </c>
      <c r="N17" s="44">
        <f>'Cierre 2026'!M17*(1+$B17)</f>
        <v>15194000</v>
      </c>
      <c r="O17" s="45">
        <f t="shared" ref="O17:O30" si="4">SUM(C17:N17)</f>
        <v>177834000</v>
      </c>
      <c r="P17" s="27">
        <f>'Cierre 2026'!N17</f>
        <v>166200000</v>
      </c>
      <c r="Q17" s="28">
        <f t="shared" ref="Q17:Q30" si="5">IFERROR(O17/P17-1,0)</f>
        <v>7.0000000000000062E-2</v>
      </c>
    </row>
    <row r="18" spans="1:17" x14ac:dyDescent="0.25">
      <c r="A18" s="33" t="s">
        <v>65</v>
      </c>
      <c r="B18" s="54">
        <f>Inflacion</f>
        <v>4.4999999999999998E-2</v>
      </c>
      <c r="C18" s="44">
        <f>'Cierre 2026'!B18*(1+$B18)</f>
        <v>4702500</v>
      </c>
      <c r="D18" s="44">
        <f>'Cierre 2026'!C18*(1+$B18)</f>
        <v>4702500</v>
      </c>
      <c r="E18" s="44">
        <f>'Cierre 2026'!D18*(1+$B18)</f>
        <v>4702500</v>
      </c>
      <c r="F18" s="44">
        <f>'Cierre 2026'!E18*(1+$B18)</f>
        <v>4702500</v>
      </c>
      <c r="G18" s="44">
        <f>'Cierre 2026'!F18*(1+$B18)</f>
        <v>4702500</v>
      </c>
      <c r="H18" s="44">
        <f>'Cierre 2026'!G18*(1+$B18)</f>
        <v>4702500</v>
      </c>
      <c r="I18" s="44">
        <f>'Cierre 2026'!H18*(1+$B18)</f>
        <v>4702500</v>
      </c>
      <c r="J18" s="44">
        <f>'Cierre 2026'!I18*(1+$B18)</f>
        <v>4702500</v>
      </c>
      <c r="K18" s="44">
        <f>'Cierre 2026'!J18*(1+$B18)</f>
        <v>4702500</v>
      </c>
      <c r="L18" s="44">
        <f>'Cierre 2026'!K18*(1+$B18)</f>
        <v>4702500</v>
      </c>
      <c r="M18" s="44">
        <f>'Cierre 2026'!L18*(1+$B18)</f>
        <v>4702500</v>
      </c>
      <c r="N18" s="44">
        <f>'Cierre 2026'!M18*(1+$B18)</f>
        <v>4702500</v>
      </c>
      <c r="O18" s="45">
        <f t="shared" si="4"/>
        <v>56430000</v>
      </c>
      <c r="P18" s="27">
        <f>'Cierre 2026'!N18</f>
        <v>54000000</v>
      </c>
      <c r="Q18" s="28">
        <f t="shared" si="5"/>
        <v>4.4999999999999929E-2</v>
      </c>
    </row>
    <row r="19" spans="1:17" x14ac:dyDescent="0.25">
      <c r="A19" s="33" t="s">
        <v>66</v>
      </c>
      <c r="B19" s="54">
        <f>Inflacion</f>
        <v>4.4999999999999998E-2</v>
      </c>
      <c r="C19" s="44">
        <f>'Cierre 2026'!B19*(1+$B19)</f>
        <v>1149500</v>
      </c>
      <c r="D19" s="44">
        <f>'Cierre 2026'!C19*(1+$B19)</f>
        <v>1044999.9999999999</v>
      </c>
      <c r="E19" s="44">
        <f>'Cierre 2026'!D19*(1+$B19)</f>
        <v>1149500</v>
      </c>
      <c r="F19" s="44">
        <f>'Cierre 2026'!E19*(1+$B19)</f>
        <v>1254000</v>
      </c>
      <c r="G19" s="44">
        <f>'Cierre 2026'!F19*(1+$B19)</f>
        <v>1149500</v>
      </c>
      <c r="H19" s="44">
        <f>'Cierre 2026'!G19*(1+$B19)</f>
        <v>1254000</v>
      </c>
      <c r="I19" s="44">
        <f>'Cierre 2026'!H19*(1+$B19)</f>
        <v>1149500</v>
      </c>
      <c r="J19" s="44">
        <f>'Cierre 2026'!I19*(1+$B19)</f>
        <v>1254000</v>
      </c>
      <c r="K19" s="44">
        <f>'Cierre 2026'!J19*(1+$B19)</f>
        <v>1254000</v>
      </c>
      <c r="L19" s="44">
        <f>'Cierre 2026'!K19*(1+$B19)</f>
        <v>1219166.6666666667</v>
      </c>
      <c r="M19" s="44">
        <f>'Cierre 2026'!L19*(1+$B19)</f>
        <v>1219166.6666666667</v>
      </c>
      <c r="N19" s="44">
        <f>'Cierre 2026'!M19*(1+$B19)</f>
        <v>1219166.6666666667</v>
      </c>
      <c r="O19" s="45">
        <f t="shared" si="4"/>
        <v>14316499.999999998</v>
      </c>
      <c r="P19" s="27">
        <f>'Cierre 2026'!N19</f>
        <v>13699999.999999998</v>
      </c>
      <c r="Q19" s="28">
        <f t="shared" si="5"/>
        <v>4.4999999999999929E-2</v>
      </c>
    </row>
    <row r="20" spans="1:17" x14ac:dyDescent="0.25">
      <c r="A20" s="33" t="s">
        <v>67</v>
      </c>
      <c r="B20" s="54">
        <f>Inflacion</f>
        <v>4.4999999999999998E-2</v>
      </c>
      <c r="C20" s="44">
        <f>'Cierre 2026'!B20*(1+$B20)</f>
        <v>2612500</v>
      </c>
      <c r="D20" s="44">
        <f>'Cierre 2026'!C20*(1+$B20)</f>
        <v>2612500</v>
      </c>
      <c r="E20" s="44">
        <f>'Cierre 2026'!D20*(1+$B20)</f>
        <v>2612500</v>
      </c>
      <c r="F20" s="44">
        <f>'Cierre 2026'!E20*(1+$B20)</f>
        <v>2612500</v>
      </c>
      <c r="G20" s="44">
        <f>'Cierre 2026'!F20*(1+$B20)</f>
        <v>2612500</v>
      </c>
      <c r="H20" s="44">
        <f>'Cierre 2026'!G20*(1+$B20)</f>
        <v>2612500</v>
      </c>
      <c r="I20" s="44">
        <f>'Cierre 2026'!H20*(1+$B20)</f>
        <v>2612500</v>
      </c>
      <c r="J20" s="44">
        <f>'Cierre 2026'!I20*(1+$B20)</f>
        <v>2612500</v>
      </c>
      <c r="K20" s="44">
        <f>'Cierre 2026'!J20*(1+$B20)</f>
        <v>2612500</v>
      </c>
      <c r="L20" s="44">
        <f>'Cierre 2026'!K20*(1+$B20)</f>
        <v>2612500</v>
      </c>
      <c r="M20" s="44">
        <f>'Cierre 2026'!L20*(1+$B20)</f>
        <v>2612500</v>
      </c>
      <c r="N20" s="44">
        <f>'Cierre 2026'!M20*(1+$B20)</f>
        <v>2612500</v>
      </c>
      <c r="O20" s="45">
        <f t="shared" si="4"/>
        <v>31350000</v>
      </c>
      <c r="P20" s="27">
        <f>'Cierre 2026'!N20</f>
        <v>30000000</v>
      </c>
      <c r="Q20" s="28">
        <f t="shared" si="5"/>
        <v>4.4999999999999929E-2</v>
      </c>
    </row>
    <row r="21" spans="1:17" x14ac:dyDescent="0.25">
      <c r="A21" s="33" t="s">
        <v>68</v>
      </c>
      <c r="B21" s="54">
        <f>Inflacion</f>
        <v>4.4999999999999998E-2</v>
      </c>
      <c r="C21" s="44">
        <f>'Cierre 2026'!B21*(1+$B21)</f>
        <v>2089999.9999999998</v>
      </c>
      <c r="D21" s="44">
        <f>'Cierre 2026'!C21*(1+$B21)</f>
        <v>1880999.9999999998</v>
      </c>
      <c r="E21" s="44">
        <f>'Cierre 2026'!D21*(1+$B21)</f>
        <v>2299000</v>
      </c>
      <c r="F21" s="44">
        <f>'Cierre 2026'!E21*(1+$B21)</f>
        <v>2089999.9999999998</v>
      </c>
      <c r="G21" s="44">
        <f>'Cierre 2026'!F21*(1+$B21)</f>
        <v>2612500</v>
      </c>
      <c r="H21" s="44">
        <f>'Cierre 2026'!G21*(1+$B21)</f>
        <v>2089999.9999999998</v>
      </c>
      <c r="I21" s="44">
        <f>'Cierre 2026'!H21*(1+$B21)</f>
        <v>1985499.9999999998</v>
      </c>
      <c r="J21" s="44">
        <f>'Cierre 2026'!I21*(1+$B21)</f>
        <v>2194500</v>
      </c>
      <c r="K21" s="44">
        <f>'Cierre 2026'!J21*(1+$B21)</f>
        <v>2508000</v>
      </c>
      <c r="L21" s="44">
        <f>'Cierre 2026'!K21*(1+$B21)</f>
        <v>2229333.3333333335</v>
      </c>
      <c r="M21" s="44">
        <f>'Cierre 2026'!L21*(1+$B21)</f>
        <v>2229333.3333333335</v>
      </c>
      <c r="N21" s="44">
        <f>'Cierre 2026'!M21*(1+$B21)</f>
        <v>2229333.3333333335</v>
      </c>
      <c r="O21" s="45">
        <f t="shared" si="4"/>
        <v>26438499.999999996</v>
      </c>
      <c r="P21" s="27">
        <f>'Cierre 2026'!N21</f>
        <v>25299999.999999996</v>
      </c>
      <c r="Q21" s="28">
        <f t="shared" si="5"/>
        <v>4.4999999999999929E-2</v>
      </c>
    </row>
    <row r="22" spans="1:17" x14ac:dyDescent="0.25">
      <c r="A22" s="33" t="s">
        <v>69</v>
      </c>
      <c r="B22" s="54">
        <f>Inflacion</f>
        <v>4.4999999999999998E-2</v>
      </c>
      <c r="C22" s="44">
        <f>'Cierre 2026'!B22*(1+$B22)</f>
        <v>940499.99999999988</v>
      </c>
      <c r="D22" s="44">
        <f>'Cierre 2026'!C22*(1+$B22)</f>
        <v>940499.99999999988</v>
      </c>
      <c r="E22" s="44">
        <f>'Cierre 2026'!D22*(1+$B22)</f>
        <v>940499.99999999988</v>
      </c>
      <c r="F22" s="44">
        <f>'Cierre 2026'!E22*(1+$B22)</f>
        <v>940499.99999999988</v>
      </c>
      <c r="G22" s="44">
        <f>'Cierre 2026'!F22*(1+$B22)</f>
        <v>940499.99999999988</v>
      </c>
      <c r="H22" s="44">
        <f>'Cierre 2026'!G22*(1+$B22)</f>
        <v>940499.99999999988</v>
      </c>
      <c r="I22" s="44">
        <f>'Cierre 2026'!H22*(1+$B22)</f>
        <v>940499.99999999988</v>
      </c>
      <c r="J22" s="44">
        <f>'Cierre 2026'!I22*(1+$B22)</f>
        <v>940499.99999999988</v>
      </c>
      <c r="K22" s="44">
        <f>'Cierre 2026'!J22*(1+$B22)</f>
        <v>940499.99999999988</v>
      </c>
      <c r="L22" s="44">
        <f>'Cierre 2026'!K22*(1+$B22)</f>
        <v>940499.99999999988</v>
      </c>
      <c r="M22" s="44">
        <f>'Cierre 2026'!L22*(1+$B22)</f>
        <v>940499.99999999988</v>
      </c>
      <c r="N22" s="44">
        <f>'Cierre 2026'!M22*(1+$B22)</f>
        <v>940499.99999999988</v>
      </c>
      <c r="O22" s="45">
        <f t="shared" si="4"/>
        <v>11285999.999999998</v>
      </c>
      <c r="P22" s="27">
        <f>'Cierre 2026'!N22</f>
        <v>10800000</v>
      </c>
      <c r="Q22" s="28">
        <f t="shared" si="5"/>
        <v>4.4999999999999929E-2</v>
      </c>
    </row>
    <row r="23" spans="1:17" x14ac:dyDescent="0.25">
      <c r="A23" s="33" t="s">
        <v>70</v>
      </c>
      <c r="B23" s="46">
        <v>0</v>
      </c>
      <c r="C23" s="44">
        <f>'Cierre 2026'!B23*(1+$B23)</f>
        <v>1500000</v>
      </c>
      <c r="D23" s="44">
        <f>'Cierre 2026'!C23*(1+$B23)</f>
        <v>1500000</v>
      </c>
      <c r="E23" s="44">
        <f>'Cierre 2026'!D23*(1+$B23)</f>
        <v>1500000</v>
      </c>
      <c r="F23" s="44">
        <f>'Cierre 2026'!E23*(1+$B23)</f>
        <v>1500000</v>
      </c>
      <c r="G23" s="44">
        <f>'Cierre 2026'!F23*(1+$B23)</f>
        <v>1500000</v>
      </c>
      <c r="H23" s="44">
        <f>'Cierre 2026'!G23*(1+$B23)</f>
        <v>1500000</v>
      </c>
      <c r="I23" s="44">
        <f>'Cierre 2026'!H23*(1+$B23)</f>
        <v>1500000</v>
      </c>
      <c r="J23" s="44">
        <f>'Cierre 2026'!I23*(1+$B23)</f>
        <v>1500000</v>
      </c>
      <c r="K23" s="44">
        <f>'Cierre 2026'!J23*(1+$B23)</f>
        <v>1500000</v>
      </c>
      <c r="L23" s="44">
        <f>'Cierre 2026'!K23*(1+$B23)</f>
        <v>1500000</v>
      </c>
      <c r="M23" s="44">
        <f>'Cierre 2026'!L23*(1+$B23)</f>
        <v>1500000</v>
      </c>
      <c r="N23" s="44">
        <f>'Cierre 2026'!M23*(1+$B23)</f>
        <v>1500000</v>
      </c>
      <c r="O23" s="45">
        <f t="shared" si="4"/>
        <v>18000000</v>
      </c>
      <c r="P23" s="27">
        <f>'Cierre 2026'!N23</f>
        <v>18000000</v>
      </c>
      <c r="Q23" s="28">
        <f t="shared" si="5"/>
        <v>0</v>
      </c>
    </row>
    <row r="24" spans="1:17" x14ac:dyDescent="0.25">
      <c r="A24" s="33" t="s">
        <v>71</v>
      </c>
      <c r="B24" s="54">
        <f>Inflacion</f>
        <v>4.4999999999999998E-2</v>
      </c>
      <c r="C24" s="44">
        <f>'Cierre 2026'!B24*(1+$B24)</f>
        <v>1880999.9999999998</v>
      </c>
      <c r="D24" s="44">
        <f>'Cierre 2026'!C24*(1+$B24)</f>
        <v>1672000</v>
      </c>
      <c r="E24" s="44">
        <f>'Cierre 2026'!D24*(1+$B24)</f>
        <v>1985499.9999999998</v>
      </c>
      <c r="F24" s="44">
        <f>'Cierre 2026'!E24*(1+$B24)</f>
        <v>1776499.9999999998</v>
      </c>
      <c r="G24" s="44">
        <f>'Cierre 2026'!F24*(1+$B24)</f>
        <v>1880999.9999999998</v>
      </c>
      <c r="H24" s="44">
        <f>'Cierre 2026'!G24*(1+$B24)</f>
        <v>2089999.9999999998</v>
      </c>
      <c r="I24" s="44">
        <f>'Cierre 2026'!H24*(1+$B24)</f>
        <v>1776499.9999999998</v>
      </c>
      <c r="J24" s="44">
        <f>'Cierre 2026'!I24*(1+$B24)</f>
        <v>1985499.9999999998</v>
      </c>
      <c r="K24" s="44">
        <f>'Cierre 2026'!J24*(1+$B24)</f>
        <v>1880999.9999999998</v>
      </c>
      <c r="L24" s="44">
        <f>'Cierre 2026'!K24*(1+$B24)</f>
        <v>1880999.9999999998</v>
      </c>
      <c r="M24" s="44">
        <f>'Cierre 2026'!L24*(1+$B24)</f>
        <v>1880999.9999999998</v>
      </c>
      <c r="N24" s="44">
        <f>'Cierre 2026'!M24*(1+$B24)</f>
        <v>1880999.9999999998</v>
      </c>
      <c r="O24" s="45">
        <f t="shared" si="4"/>
        <v>22572000</v>
      </c>
      <c r="P24" s="27">
        <f>'Cierre 2026'!N24</f>
        <v>21600000</v>
      </c>
      <c r="Q24" s="28">
        <f t="shared" si="5"/>
        <v>4.4999999999999929E-2</v>
      </c>
    </row>
    <row r="25" spans="1:17" x14ac:dyDescent="0.25">
      <c r="A25" s="47" t="s">
        <v>113</v>
      </c>
      <c r="B25" s="47"/>
      <c r="C25" s="48">
        <f t="shared" ref="C25:N25" si="6">SUM(C17:C24)</f>
        <v>29321000</v>
      </c>
      <c r="D25" s="48">
        <f t="shared" si="6"/>
        <v>28798500</v>
      </c>
      <c r="E25" s="48">
        <f t="shared" si="6"/>
        <v>29634500</v>
      </c>
      <c r="F25" s="48">
        <f t="shared" si="6"/>
        <v>29321000</v>
      </c>
      <c r="G25" s="48">
        <f t="shared" si="6"/>
        <v>29843500</v>
      </c>
      <c r="H25" s="48">
        <f t="shared" si="6"/>
        <v>29634500</v>
      </c>
      <c r="I25" s="48">
        <f t="shared" si="6"/>
        <v>29861000</v>
      </c>
      <c r="J25" s="48">
        <f t="shared" si="6"/>
        <v>30383500</v>
      </c>
      <c r="K25" s="48">
        <f t="shared" si="6"/>
        <v>30592500</v>
      </c>
      <c r="L25" s="48">
        <f t="shared" si="6"/>
        <v>30279000</v>
      </c>
      <c r="M25" s="48">
        <f t="shared" si="6"/>
        <v>30279000</v>
      </c>
      <c r="N25" s="48">
        <f t="shared" si="6"/>
        <v>30279000</v>
      </c>
      <c r="O25" s="48">
        <f t="shared" si="4"/>
        <v>358227000</v>
      </c>
      <c r="P25" s="48">
        <f>'Cierre 2026'!N25</f>
        <v>339600000</v>
      </c>
      <c r="Q25" s="55">
        <f t="shared" si="5"/>
        <v>5.4849823321554858E-2</v>
      </c>
    </row>
    <row r="26" spans="1:17" x14ac:dyDescent="0.25">
      <c r="A26" s="47" t="s">
        <v>42</v>
      </c>
      <c r="B26" s="47"/>
      <c r="C26" s="48">
        <f t="shared" ref="C26:N26" si="7">C14-C25</f>
        <v>8211135.1094196066</v>
      </c>
      <c r="D26" s="48">
        <f t="shared" si="7"/>
        <v>9536088.4871550947</v>
      </c>
      <c r="E26" s="48">
        <f t="shared" si="7"/>
        <v>7095181.7316841185</v>
      </c>
      <c r="F26" s="48">
        <f t="shared" si="7"/>
        <v>10478518.553758331</v>
      </c>
      <c r="G26" s="48">
        <f t="shared" si="7"/>
        <v>11107448.620361567</v>
      </c>
      <c r="H26" s="48">
        <f t="shared" si="7"/>
        <v>12641401.998097055</v>
      </c>
      <c r="I26" s="48">
        <f t="shared" si="7"/>
        <v>10845471.931493819</v>
      </c>
      <c r="J26" s="48">
        <f t="shared" si="7"/>
        <v>12485855.37583255</v>
      </c>
      <c r="K26" s="48">
        <f t="shared" si="7"/>
        <v>13846285.442435779</v>
      </c>
      <c r="L26" s="48">
        <f t="shared" si="7"/>
        <v>12392537.583254047</v>
      </c>
      <c r="M26" s="48">
        <f t="shared" si="7"/>
        <v>12392537.583254047</v>
      </c>
      <c r="N26" s="48">
        <f t="shared" si="7"/>
        <v>12392537.583254047</v>
      </c>
      <c r="O26" s="48">
        <f t="shared" si="4"/>
        <v>133425000.00000003</v>
      </c>
      <c r="P26" s="48">
        <f>'Cierre 2026'!N26</f>
        <v>116099999.99999999</v>
      </c>
      <c r="Q26" s="55">
        <f t="shared" si="5"/>
        <v>0.14922480620155087</v>
      </c>
    </row>
    <row r="27" spans="1:17" x14ac:dyDescent="0.25">
      <c r="A27" s="33" t="s">
        <v>114</v>
      </c>
      <c r="B27" s="46">
        <v>0</v>
      </c>
      <c r="C27" s="44">
        <f>'Cierre 2026'!B27*(1+$B27)</f>
        <v>1200000</v>
      </c>
      <c r="D27" s="44">
        <f>'Cierre 2026'!C27*(1+$B27)</f>
        <v>1200000</v>
      </c>
      <c r="E27" s="44">
        <f>'Cierre 2026'!D27*(1+$B27)</f>
        <v>1200000</v>
      </c>
      <c r="F27" s="44">
        <f>'Cierre 2026'!E27*(1+$B27)</f>
        <v>1150000</v>
      </c>
      <c r="G27" s="44">
        <f>'Cierre 2026'!F27*(1+$B27)</f>
        <v>1150000</v>
      </c>
      <c r="H27" s="44">
        <f>'Cierre 2026'!G27*(1+$B27)</f>
        <v>1100000</v>
      </c>
      <c r="I27" s="44">
        <f>'Cierre 2026'!H27*(1+$B27)</f>
        <v>1100000</v>
      </c>
      <c r="J27" s="44">
        <f>'Cierre 2026'!I27*(1+$B27)</f>
        <v>1050000</v>
      </c>
      <c r="K27" s="44">
        <f>'Cierre 2026'!J27*(1+$B27)</f>
        <v>1050000</v>
      </c>
      <c r="L27" s="44">
        <f>'Cierre 2026'!K27*(1+$B27)</f>
        <v>1066666.6666666667</v>
      </c>
      <c r="M27" s="44">
        <f>'Cierre 2026'!L27*(1+$B27)</f>
        <v>1066666.6666666667</v>
      </c>
      <c r="N27" s="44">
        <f>'Cierre 2026'!M27*(1+$B27)</f>
        <v>1066666.6666666667</v>
      </c>
      <c r="O27" s="45">
        <f t="shared" si="4"/>
        <v>13399999.999999998</v>
      </c>
      <c r="P27" s="27">
        <f>'Cierre 2026'!N27</f>
        <v>13399999.999999998</v>
      </c>
      <c r="Q27" s="28">
        <f t="shared" si="5"/>
        <v>0</v>
      </c>
    </row>
    <row r="28" spans="1:17" x14ac:dyDescent="0.25">
      <c r="A28" s="47" t="s">
        <v>115</v>
      </c>
      <c r="B28" s="47"/>
      <c r="C28" s="48">
        <f t="shared" ref="C28:N28" si="8">C26-C27</f>
        <v>7011135.1094196066</v>
      </c>
      <c r="D28" s="48">
        <f t="shared" si="8"/>
        <v>8336088.4871550947</v>
      </c>
      <c r="E28" s="48">
        <f t="shared" si="8"/>
        <v>5895181.7316841185</v>
      </c>
      <c r="F28" s="48">
        <f t="shared" si="8"/>
        <v>9328518.5537583306</v>
      </c>
      <c r="G28" s="48">
        <f t="shared" si="8"/>
        <v>9957448.6203615665</v>
      </c>
      <c r="H28" s="48">
        <f t="shared" si="8"/>
        <v>11541401.998097055</v>
      </c>
      <c r="I28" s="48">
        <f t="shared" si="8"/>
        <v>9745471.9314938188</v>
      </c>
      <c r="J28" s="48">
        <f t="shared" si="8"/>
        <v>11435855.37583255</v>
      </c>
      <c r="K28" s="48">
        <f t="shared" si="8"/>
        <v>12796285.442435779</v>
      </c>
      <c r="L28" s="48">
        <f t="shared" si="8"/>
        <v>11325870.916587381</v>
      </c>
      <c r="M28" s="48">
        <f t="shared" si="8"/>
        <v>11325870.916587381</v>
      </c>
      <c r="N28" s="48">
        <f t="shared" si="8"/>
        <v>11325870.916587381</v>
      </c>
      <c r="O28" s="48">
        <f t="shared" si="4"/>
        <v>120025000.00000006</v>
      </c>
      <c r="P28" s="48">
        <f>'Cierre 2026'!N28</f>
        <v>102699999.99999997</v>
      </c>
      <c r="Q28" s="55">
        <f t="shared" si="5"/>
        <v>0.16869522882181198</v>
      </c>
    </row>
    <row r="29" spans="1:17" x14ac:dyDescent="0.25">
      <c r="A29" s="33" t="s">
        <v>116</v>
      </c>
      <c r="B29" s="33"/>
      <c r="C29" s="44">
        <f t="shared" ref="C29:N29" si="9">MAX(0,C28)*Tasa_Renta</f>
        <v>2453897.288296862</v>
      </c>
      <c r="D29" s="44">
        <f t="shared" si="9"/>
        <v>2917630.970504283</v>
      </c>
      <c r="E29" s="44">
        <f t="shared" si="9"/>
        <v>2063313.6060894413</v>
      </c>
      <c r="F29" s="44">
        <f t="shared" si="9"/>
        <v>3264981.4938154155</v>
      </c>
      <c r="G29" s="44">
        <f t="shared" si="9"/>
        <v>3485107.0171265481</v>
      </c>
      <c r="H29" s="44">
        <f t="shared" si="9"/>
        <v>4039490.699333969</v>
      </c>
      <c r="I29" s="44">
        <f t="shared" si="9"/>
        <v>3410915.1760228365</v>
      </c>
      <c r="J29" s="44">
        <f t="shared" si="9"/>
        <v>4002549.3815413923</v>
      </c>
      <c r="K29" s="44">
        <f t="shared" si="9"/>
        <v>4478699.9048525225</v>
      </c>
      <c r="L29" s="44">
        <f t="shared" si="9"/>
        <v>3964054.8208055831</v>
      </c>
      <c r="M29" s="44">
        <f t="shared" si="9"/>
        <v>3964054.8208055831</v>
      </c>
      <c r="N29" s="44">
        <f t="shared" si="9"/>
        <v>3964054.8208055831</v>
      </c>
      <c r="O29" s="45">
        <f t="shared" si="4"/>
        <v>42008750.000000015</v>
      </c>
      <c r="P29" s="44">
        <f>'Cierre 2026'!N29</f>
        <v>35944999.999999993</v>
      </c>
      <c r="Q29" s="28">
        <f t="shared" si="5"/>
        <v>0.16869522882181176</v>
      </c>
    </row>
    <row r="30" spans="1:17" x14ac:dyDescent="0.25">
      <c r="A30" s="50" t="s">
        <v>43</v>
      </c>
      <c r="B30" s="50"/>
      <c r="C30" s="51">
        <f t="shared" ref="C30:N30" si="10">C28-C29</f>
        <v>4557237.8211227451</v>
      </c>
      <c r="D30" s="51">
        <f t="shared" si="10"/>
        <v>5418457.5166508118</v>
      </c>
      <c r="E30" s="51">
        <f t="shared" si="10"/>
        <v>3831868.1255946774</v>
      </c>
      <c r="F30" s="51">
        <f t="shared" si="10"/>
        <v>6063537.0599429151</v>
      </c>
      <c r="G30" s="51">
        <f t="shared" si="10"/>
        <v>6472341.6032350184</v>
      </c>
      <c r="H30" s="51">
        <f t="shared" si="10"/>
        <v>7501911.2987630852</v>
      </c>
      <c r="I30" s="51">
        <f t="shared" si="10"/>
        <v>6334556.7554709818</v>
      </c>
      <c r="J30" s="51">
        <f t="shared" si="10"/>
        <v>7433305.9942911584</v>
      </c>
      <c r="K30" s="51">
        <f t="shared" si="10"/>
        <v>8317585.5375832561</v>
      </c>
      <c r="L30" s="51">
        <f t="shared" si="10"/>
        <v>7361816.0957817975</v>
      </c>
      <c r="M30" s="51">
        <f t="shared" si="10"/>
        <v>7361816.0957817975</v>
      </c>
      <c r="N30" s="51">
        <f t="shared" si="10"/>
        <v>7361816.0957817975</v>
      </c>
      <c r="O30" s="51">
        <f t="shared" si="4"/>
        <v>78016250.000000045</v>
      </c>
      <c r="P30" s="51">
        <f>'Cierre 2026'!N30</f>
        <v>66754999.999999985</v>
      </c>
      <c r="Q30" s="57">
        <f t="shared" si="5"/>
        <v>0.16869522882181198</v>
      </c>
    </row>
    <row r="31" spans="1:17" x14ac:dyDescent="0.25">
      <c r="A31" s="29" t="s">
        <v>44</v>
      </c>
      <c r="B31" s="29"/>
      <c r="C31" s="49">
        <f t="shared" ref="C31:O31" si="11">IFERROR(C30/C12,0)</f>
        <v>5.1991213420069196E-2</v>
      </c>
      <c r="D31" s="49">
        <f t="shared" si="11"/>
        <v>6.0400041429846466E-2</v>
      </c>
      <c r="E31" s="49">
        <f t="shared" si="11"/>
        <v>4.4765598995247319E-2</v>
      </c>
      <c r="F31" s="49">
        <f t="shared" si="11"/>
        <v>6.5161487522760062E-2</v>
      </c>
      <c r="G31" s="49">
        <f t="shared" si="11"/>
        <v>6.7360582850965481E-2</v>
      </c>
      <c r="H31" s="49">
        <f t="shared" si="11"/>
        <v>7.6035710436162349E-2</v>
      </c>
      <c r="I31" s="49">
        <f t="shared" si="11"/>
        <v>6.6529677940964371E-2</v>
      </c>
      <c r="J31" s="49">
        <f t="shared" si="11"/>
        <v>7.3956252834718697E-2</v>
      </c>
      <c r="K31" s="49">
        <f t="shared" si="11"/>
        <v>8.0008710567998353E-2</v>
      </c>
      <c r="L31" s="49">
        <f t="shared" si="11"/>
        <v>7.3696279013572369E-2</v>
      </c>
      <c r="M31" s="49">
        <f t="shared" si="11"/>
        <v>7.3696279013572369E-2</v>
      </c>
      <c r="N31" s="49">
        <f t="shared" si="11"/>
        <v>7.3696279013572369E-2</v>
      </c>
      <c r="O31" s="49">
        <f t="shared" si="11"/>
        <v>6.7832667320506967E-2</v>
      </c>
      <c r="P31" s="49">
        <f>'Cierre 2026'!N31</f>
        <v>6.2657217946311225E-2</v>
      </c>
      <c r="Q31" s="49">
        <f>O31-P31</f>
        <v>5.1754493741957425E-3</v>
      </c>
    </row>
  </sheetData>
  <hyperlinks>
    <hyperlink ref="I7" r:id="rId1" location="'Versión%20PRO'!A1" xr:uid="{00000000-0004-0000-0400-000000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4A84E"/>
    <pageSetUpPr fitToPage="1"/>
  </sheetPr>
  <dimension ref="A1:H30"/>
  <sheetViews>
    <sheetView showGridLines="0" tabSelected="1" zoomScaleNormal="100" workbookViewId="0">
      <selection activeCell="E28" sqref="E28"/>
    </sheetView>
  </sheetViews>
  <sheetFormatPr baseColWidth="10" defaultColWidth="8.7109375" defaultRowHeight="15" x14ac:dyDescent="0.25"/>
  <cols>
    <col min="1" max="1" width="2" customWidth="1"/>
    <col min="2" max="2" width="58" customWidth="1"/>
    <col min="3" max="3" width="16" customWidth="1"/>
    <col min="4" max="4" width="22" customWidth="1"/>
  </cols>
  <sheetData>
    <row r="1" spans="1:8" ht="21.75" customHeight="1" x14ac:dyDescent="0.25">
      <c r="A1" s="9"/>
      <c r="B1" s="9"/>
      <c r="C1" s="9"/>
      <c r="D1" s="9"/>
      <c r="E1" s="9"/>
      <c r="F1" s="9"/>
      <c r="G1" s="9"/>
      <c r="H1" s="9"/>
    </row>
    <row r="2" spans="1:8" ht="21.75" customHeight="1" x14ac:dyDescent="0.25">
      <c r="A2" s="9"/>
      <c r="B2" s="9"/>
      <c r="C2" s="9"/>
      <c r="D2" s="9"/>
      <c r="E2" s="9"/>
      <c r="F2" s="9"/>
      <c r="G2" s="9"/>
      <c r="H2" s="9"/>
    </row>
    <row r="3" spans="1:8" ht="21.75" customHeight="1" x14ac:dyDescent="0.25">
      <c r="A3" s="9"/>
      <c r="B3" s="9"/>
      <c r="C3" s="9"/>
      <c r="D3" s="9"/>
      <c r="E3" s="9"/>
      <c r="F3" s="9"/>
      <c r="G3" s="9"/>
      <c r="H3" s="9"/>
    </row>
    <row r="4" spans="1:8" ht="3.75" customHeight="1" x14ac:dyDescent="0.25">
      <c r="A4" s="10"/>
      <c r="B4" s="10"/>
      <c r="C4" s="10"/>
      <c r="D4" s="10"/>
      <c r="E4" s="10"/>
      <c r="F4" s="10"/>
      <c r="G4" s="10"/>
      <c r="H4" s="10"/>
    </row>
    <row r="5" spans="1:8" ht="25.5" customHeight="1" x14ac:dyDescent="0.3">
      <c r="A5" s="11" t="s">
        <v>133</v>
      </c>
    </row>
    <row r="6" spans="1:8" x14ac:dyDescent="0.25">
      <c r="A6" s="12" t="s">
        <v>134</v>
      </c>
    </row>
    <row r="8" spans="1:8" x14ac:dyDescent="0.25">
      <c r="B8" s="25" t="s">
        <v>135</v>
      </c>
      <c r="C8" s="26" t="s">
        <v>136</v>
      </c>
      <c r="D8" s="58" t="s">
        <v>137</v>
      </c>
    </row>
    <row r="9" spans="1:8" x14ac:dyDescent="0.25">
      <c r="B9" s="33" t="s">
        <v>138</v>
      </c>
      <c r="C9" s="59" t="s">
        <v>139</v>
      </c>
      <c r="D9" s="60" t="s">
        <v>139</v>
      </c>
    </row>
    <row r="10" spans="1:8" x14ac:dyDescent="0.25">
      <c r="B10" s="33" t="s">
        <v>91</v>
      </c>
      <c r="C10" s="59" t="s">
        <v>139</v>
      </c>
      <c r="D10" s="60" t="s">
        <v>139</v>
      </c>
    </row>
    <row r="11" spans="1:8" x14ac:dyDescent="0.25">
      <c r="B11" s="33" t="s">
        <v>140</v>
      </c>
      <c r="C11" s="59" t="s">
        <v>141</v>
      </c>
      <c r="D11" s="60" t="s">
        <v>142</v>
      </c>
    </row>
    <row r="12" spans="1:8" x14ac:dyDescent="0.25">
      <c r="B12" s="33" t="s">
        <v>143</v>
      </c>
      <c r="C12" s="59" t="s">
        <v>144</v>
      </c>
      <c r="D12" s="60" t="s">
        <v>139</v>
      </c>
    </row>
    <row r="13" spans="1:8" x14ac:dyDescent="0.25">
      <c r="B13" s="33" t="s">
        <v>145</v>
      </c>
      <c r="C13" s="59" t="s">
        <v>144</v>
      </c>
      <c r="D13" s="60" t="s">
        <v>139</v>
      </c>
    </row>
    <row r="14" spans="1:8" x14ac:dyDescent="0.25">
      <c r="B14" s="33" t="s">
        <v>146</v>
      </c>
      <c r="C14" s="59" t="s">
        <v>144</v>
      </c>
      <c r="D14" s="60" t="s">
        <v>139</v>
      </c>
    </row>
    <row r="15" spans="1:8" x14ac:dyDescent="0.25">
      <c r="B15" s="33" t="s">
        <v>147</v>
      </c>
      <c r="C15" s="59" t="s">
        <v>144</v>
      </c>
      <c r="D15" s="60" t="s">
        <v>139</v>
      </c>
    </row>
    <row r="16" spans="1:8" x14ac:dyDescent="0.25">
      <c r="B16" s="33" t="s">
        <v>148</v>
      </c>
      <c r="C16" s="59" t="s">
        <v>144</v>
      </c>
      <c r="D16" s="60" t="s">
        <v>139</v>
      </c>
    </row>
    <row r="17" spans="2:4" x14ac:dyDescent="0.25">
      <c r="B17" s="33" t="s">
        <v>149</v>
      </c>
      <c r="C17" s="59" t="s">
        <v>144</v>
      </c>
      <c r="D17" s="60" t="s">
        <v>139</v>
      </c>
    </row>
    <row r="18" spans="2:4" x14ac:dyDescent="0.25">
      <c r="B18" s="33" t="s">
        <v>150</v>
      </c>
      <c r="C18" s="59" t="s">
        <v>144</v>
      </c>
      <c r="D18" s="60" t="s">
        <v>139</v>
      </c>
    </row>
    <row r="19" spans="2:4" x14ac:dyDescent="0.25">
      <c r="B19" s="33" t="s">
        <v>151</v>
      </c>
      <c r="C19" s="59" t="s">
        <v>144</v>
      </c>
      <c r="D19" s="60" t="s">
        <v>139</v>
      </c>
    </row>
    <row r="20" spans="2:4" x14ac:dyDescent="0.25">
      <c r="B20" s="33" t="s">
        <v>152</v>
      </c>
      <c r="C20" s="59" t="s">
        <v>144</v>
      </c>
      <c r="D20" s="60" t="s">
        <v>139</v>
      </c>
    </row>
    <row r="21" spans="2:4" x14ac:dyDescent="0.25">
      <c r="B21" s="33" t="s">
        <v>153</v>
      </c>
      <c r="C21" s="59" t="s">
        <v>144</v>
      </c>
      <c r="D21" s="60" t="s">
        <v>139</v>
      </c>
    </row>
    <row r="24" spans="2:4" x14ac:dyDescent="0.25">
      <c r="B24" s="14" t="s">
        <v>154</v>
      </c>
    </row>
    <row r="25" spans="2:4" x14ac:dyDescent="0.25">
      <c r="B25" s="17" t="s">
        <v>155</v>
      </c>
    </row>
    <row r="26" spans="2:4" x14ac:dyDescent="0.25">
      <c r="B26" s="17" t="s">
        <v>156</v>
      </c>
    </row>
    <row r="27" spans="2:4" x14ac:dyDescent="0.25">
      <c r="B27" s="17" t="s">
        <v>157</v>
      </c>
    </row>
    <row r="28" spans="2:4" x14ac:dyDescent="0.25">
      <c r="B28" s="17" t="s">
        <v>158</v>
      </c>
    </row>
    <row r="30" spans="2:4" ht="30" customHeight="1" x14ac:dyDescent="0.25">
      <c r="B30" s="61" t="s">
        <v>159</v>
      </c>
    </row>
  </sheetData>
  <hyperlinks>
    <hyperlink ref="B30" r:id="rId1" xr:uid="{00000000-0004-0000-0500-000000000000}"/>
  </hyperlinks>
  <pageMargins left="0.75" right="0.75" top="1" bottom="1" header="0.511811023622047" footer="0.5"/>
  <pageSetup fitToHeight="0" orientation="landscape" horizontalDpi="300" verticalDpi="300"/>
  <headerFooter>
    <oddFooter>&amp;LData Edge · Plantilla gratuita&amp;RPágina 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7</vt:i4>
      </vt:variant>
    </vt:vector>
  </HeadingPairs>
  <TitlesOfParts>
    <vt:vector size="13" baseType="lpstr">
      <vt:lpstr>Inicio</vt:lpstr>
      <vt:lpstr>Dashboard</vt:lpstr>
      <vt:lpstr>Supuestos</vt:lpstr>
      <vt:lpstr>Cierre 2026</vt:lpstr>
      <vt:lpstr>Presupuesto 2027</vt:lpstr>
      <vt:lpstr>Versión PRO</vt:lpstr>
      <vt:lpstr>Dashboard!Área_de_impresión</vt:lpstr>
      <vt:lpstr>Crec_Ventas</vt:lpstr>
      <vt:lpstr>Empresa</vt:lpstr>
      <vt:lpstr>Incr_Salarial</vt:lpstr>
      <vt:lpstr>Inflacion</vt:lpstr>
      <vt:lpstr>Moneda</vt:lpstr>
      <vt:lpstr>Tasa_Renta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Presupuesto 2027 + Proyección de cierre 2026</dc:title>
  <dc:subject/>
  <dc:creator>Data Edge</dc:creator>
  <dc:description/>
  <cp:lastModifiedBy>John J Vargas Job</cp:lastModifiedBy>
  <cp:revision>1</cp:revision>
  <dcterms:created xsi:type="dcterms:W3CDTF">2026-10-05T15:07:27Z</dcterms:created>
  <dcterms:modified xsi:type="dcterms:W3CDTF">2026-10-05T15:11:48Z</dcterms:modified>
  <dc:language>en-US</dc:language>
</cp:coreProperties>
</file>