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8BD3F8DF-6B76-4A5D-87EE-9C3FAF642DEC}" xr6:coauthVersionLast="47" xr6:coauthVersionMax="47" xr10:uidLastSave="{00000000-0000-0000-0000-000000000000}"/>
  <bookViews>
    <workbookView xWindow="-120" yWindow="-120" windowWidth="20640" windowHeight="11040" activeTab="3" xr2:uid="{329DC242-C64C-435A-9B42-18526D721BD7}"/>
  </bookViews>
  <sheets>
    <sheet name="Dashboard" sheetId="1" r:id="rId1"/>
    <sheet name="Tablas" sheetId="4" state="hidden" r:id="rId2"/>
    <sheet name="Movimientos" sheetId="3" r:id="rId3"/>
    <sheet name="Configuración" sheetId="2" r:id="rId4"/>
  </sheets>
  <definedNames>
    <definedName name="Anio">Dashboard!$F$6</definedName>
    <definedName name="ListaCategorias">Configuración!$H$12:$H$29</definedName>
    <definedName name="ListaEgresos">Configuración!$F$12:$F$23</definedName>
    <definedName name="ListaIngresos">Configuración!$D$12:$D$17</definedName>
    <definedName name="ListaTipo">Configuración!$J$12:$J$13</definedName>
    <definedName name="Mes">Dashboard!$E$6</definedName>
    <definedName name="SaldoInicial">Configuración!$E$8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4" l="1"/>
  <c r="N8" i="4" s="1"/>
  <c r="M9" i="4"/>
  <c r="N9" i="4"/>
  <c r="M10" i="4"/>
  <c r="N10" i="4" s="1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12" i="1"/>
  <c r="E12" i="1" s="1"/>
  <c r="D13" i="1"/>
  <c r="E13" i="1" s="1"/>
  <c r="F13" i="1"/>
  <c r="D14" i="1"/>
  <c r="E14" i="1" s="1"/>
  <c r="D15" i="1"/>
  <c r="E15" i="1" s="1"/>
  <c r="F15" i="1"/>
  <c r="D16" i="1"/>
  <c r="E16" i="1" s="1"/>
  <c r="D17" i="1"/>
  <c r="E17" i="1" s="1"/>
  <c r="F17" i="1"/>
  <c r="D18" i="1"/>
  <c r="E18" i="1" s="1"/>
  <c r="D19" i="1"/>
  <c r="E19" i="1" s="1"/>
  <c r="F19" i="1"/>
  <c r="D20" i="1"/>
  <c r="E20" i="1" s="1"/>
  <c r="D21" i="1"/>
  <c r="E21" i="1" s="1"/>
  <c r="F21" i="1"/>
  <c r="D22" i="1"/>
  <c r="E22" i="1" s="1"/>
  <c r="D23" i="1"/>
  <c r="E23" i="1" s="1"/>
  <c r="F23" i="1"/>
  <c r="D24" i="1"/>
  <c r="E24" i="1" s="1"/>
  <c r="D25" i="1"/>
  <c r="E25" i="1" s="1"/>
  <c r="F25" i="1"/>
  <c r="D26" i="1"/>
  <c r="E26" i="1" s="1"/>
  <c r="D27" i="1"/>
  <c r="E27" i="1" s="1"/>
  <c r="F27" i="1"/>
  <c r="D28" i="1"/>
  <c r="E28" i="1" s="1"/>
  <c r="D29" i="1"/>
  <c r="E29" i="1" s="1"/>
  <c r="F29" i="1"/>
  <c r="D30" i="1"/>
  <c r="E30" i="1" s="1"/>
  <c r="D31" i="1"/>
  <c r="E31" i="1" s="1"/>
  <c r="F31" i="1"/>
  <c r="D32" i="1"/>
  <c r="E32" i="1" s="1"/>
  <c r="D33" i="1"/>
  <c r="E33" i="1" s="1"/>
  <c r="F33" i="1"/>
  <c r="D34" i="1"/>
  <c r="E34" i="1" s="1"/>
  <c r="D35" i="1"/>
  <c r="E35" i="1" s="1"/>
  <c r="F35" i="1"/>
  <c r="D36" i="1"/>
  <c r="E36" i="1" s="1"/>
  <c r="D37" i="1"/>
  <c r="E37" i="1" s="1"/>
  <c r="F37" i="1"/>
  <c r="D38" i="1"/>
  <c r="E38" i="1" s="1"/>
  <c r="D39" i="1"/>
  <c r="E39" i="1" s="1"/>
  <c r="F39" i="1"/>
  <c r="D40" i="1"/>
  <c r="E40" i="1" s="1"/>
  <c r="D41" i="1"/>
  <c r="E41" i="1" s="1"/>
  <c r="F41" i="1"/>
  <c r="D42" i="1"/>
  <c r="E42" i="1" s="1"/>
  <c r="D9" i="1"/>
  <c r="F9" i="1" s="1"/>
  <c r="G9" i="1" s="1"/>
  <c r="E9" i="1"/>
  <c r="E7" i="2"/>
  <c r="E6" i="2"/>
  <c r="D6" i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J8" i="4" l="1"/>
  <c r="J12" i="4"/>
  <c r="K8" i="4"/>
  <c r="K12" i="4"/>
  <c r="J9" i="4"/>
  <c r="K9" i="4"/>
  <c r="K10" i="4"/>
  <c r="J10" i="4"/>
  <c r="J11" i="4"/>
  <c r="K11" i="4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42" i="1"/>
  <c r="G38" i="1"/>
  <c r="G34" i="1"/>
  <c r="G30" i="1"/>
  <c r="G28" i="1"/>
  <c r="G24" i="1"/>
  <c r="G22" i="1"/>
  <c r="G20" i="1"/>
  <c r="G18" i="1"/>
  <c r="G16" i="1"/>
  <c r="G12" i="1"/>
  <c r="F42" i="1"/>
  <c r="F40" i="1"/>
  <c r="F38" i="1"/>
  <c r="F36" i="1"/>
  <c r="F34" i="1"/>
  <c r="F32" i="1"/>
  <c r="F30" i="1"/>
  <c r="F28" i="1"/>
  <c r="F26" i="1"/>
  <c r="F24" i="1"/>
  <c r="F22" i="1"/>
  <c r="F20" i="1"/>
  <c r="F18" i="1"/>
  <c r="F16" i="1"/>
  <c r="F14" i="1"/>
  <c r="F12" i="1"/>
  <c r="G40" i="1"/>
  <c r="G36" i="1"/>
  <c r="G32" i="1"/>
  <c r="G26" i="1"/>
  <c r="G14" i="1"/>
</calcChain>
</file>

<file path=xl/sharedStrings.xml><?xml version="1.0" encoding="utf-8"?>
<sst xmlns="http://schemas.openxmlformats.org/spreadsheetml/2006/main" count="106" uniqueCount="67">
  <si>
    <t>Parámetro</t>
  </si>
  <si>
    <t>Valor</t>
  </si>
  <si>
    <t>Mes (1-12)</t>
  </si>
  <si>
    <t>Año</t>
  </si>
  <si>
    <t>Saldo inicial</t>
  </si>
  <si>
    <t>Categorías de Ingresos</t>
  </si>
  <si>
    <t>Ventas de contado</t>
  </si>
  <si>
    <t>Cobro de cartera</t>
  </si>
  <si>
    <t>Anticipos de clientes</t>
  </si>
  <si>
    <t>Rendimientos financieros</t>
  </si>
  <si>
    <t>Préstamos recibidos</t>
  </si>
  <si>
    <t>Otros ingresos</t>
  </si>
  <si>
    <t>Categorías de Egresos</t>
  </si>
  <si>
    <t>Proveedores</t>
  </si>
  <si>
    <t>Transporte y fletes</t>
  </si>
  <si>
    <t>Arriendo</t>
  </si>
  <si>
    <t>Servicios públicos</t>
  </si>
  <si>
    <t>Internet y telefonía</t>
  </si>
  <si>
    <t>Seguridad social</t>
  </si>
  <si>
    <t>Nómina</t>
  </si>
  <si>
    <t>Impuestos</t>
  </si>
  <si>
    <t>Publicidad y mercadeo</t>
  </si>
  <si>
    <t>Compra de equipos</t>
  </si>
  <si>
    <t>Pago de créditos</t>
  </si>
  <si>
    <t>Otros gastos</t>
  </si>
  <si>
    <t>Todas las categorías</t>
  </si>
  <si>
    <t>Tipo</t>
  </si>
  <si>
    <t>Ingreso</t>
  </si>
  <si>
    <t>Egreso</t>
  </si>
  <si>
    <t>Fecha</t>
  </si>
  <si>
    <t>Categoría</t>
  </si>
  <si>
    <t>Descripción</t>
  </si>
  <si>
    <t>Saldo del día</t>
  </si>
  <si>
    <t>Día / Fecha</t>
  </si>
  <si>
    <t>Ingresos</t>
  </si>
  <si>
    <t>Egresos</t>
  </si>
  <si>
    <t>Saldo acumulado</t>
  </si>
  <si>
    <t>#</t>
  </si>
  <si>
    <t>Total</t>
  </si>
  <si>
    <t>Venta de contado del día</t>
  </si>
  <si>
    <t>Pago a proveedor de insumos</t>
  </si>
  <si>
    <t>Flete de despacho</t>
  </si>
  <si>
    <t>info@DataEdgeConsulting.onmicrosoft.com</t>
  </si>
  <si>
    <t>DASHBOARD DE FLUJO DE CAJA</t>
  </si>
  <si>
    <t>Indicadores y análisis del período</t>
  </si>
  <si>
    <t>Soporte técnico</t>
  </si>
  <si>
    <t>REGISTRO DE MOVIMIENTOS</t>
  </si>
  <si>
    <t>Captura diaria de ingresos y egresos</t>
  </si>
  <si>
    <t>PANEL DE CONFIGURACIÓN</t>
  </si>
  <si>
    <t>Parámetros y categorías editables</t>
  </si>
  <si>
    <t>INGRESOS DEL MES</t>
  </si>
  <si>
    <t>EGRESOS DEL MES</t>
  </si>
  <si>
    <t>FLUJO NETO</t>
  </si>
  <si>
    <t>SALDO FINAL</t>
  </si>
  <si>
    <t>Captura de movimientos</t>
  </si>
  <si>
    <t>Sugerencia: registra cada movimiento en la fecha real. El saldo se calcula automáticamente.</t>
  </si>
  <si>
    <t>Nota: estos parámetros alimentan automáticamente las hojas Movimientos y Dashboard.</t>
  </si>
  <si>
    <t>Mes</t>
  </si>
  <si>
    <t>PERÍODO ACTIVO</t>
  </si>
  <si>
    <t>MES</t>
  </si>
  <si>
    <t>AÑO</t>
  </si>
  <si>
    <t>TABLAS DE SOPORTE</t>
  </si>
  <si>
    <t>Datos calculados que alimentan los gráficos del Dashboard</t>
  </si>
  <si>
    <t>Soporte y consultas</t>
  </si>
  <si>
    <t>RESUMEN MES A MES (AÑO ACTUAL)</t>
  </si>
  <si>
    <t>TOP 5 CATEGORÍAS DE GASTO (MES ACTUAL)</t>
  </si>
  <si>
    <t>Ingreso no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</si>
</sst>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yy"/>
    <numFmt numFmtId="176" formatCode="#,##0.00;[Red]\-#,##0.00;\-"/>
    <numFmt numFmtId="177" formatCode="d\-mmm\-yyyy"/>
  </numFmts>
  <fonts count="28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8"/>
      <color rgb="FFFFFFFF"/>
      <name val="Calibri"/>
    </font>
    <font>
      <i/>
      <sz val="10"/>
      <color rgb="FFFFFFFF"/>
      <name val="Aptos Narrow"/>
      <family val="2"/>
      <scheme val="minor"/>
    </font>
    <font>
      <b/>
      <sz val="9"/>
      <color rgb="FF8DA9C4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1"/>
      <color rgb="FF1F1F1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sz val="10"/>
      <color rgb="FF1F1F1F"/>
      <name val="Calibri"/>
    </font>
    <font>
      <b/>
      <sz val="10"/>
      <color rgb="FF1F1F1F"/>
      <name val="Calibri"/>
    </font>
    <font>
      <b/>
      <sz val="11"/>
      <color rgb="FF1F1F1F"/>
      <name val="Calibri"/>
    </font>
    <font>
      <b/>
      <sz val="12"/>
      <color rgb="FF0B2545"/>
      <name val="Calibri"/>
    </font>
    <font>
      <b/>
      <sz val="10"/>
      <color rgb="FF0B2545"/>
      <name val="Calibri"/>
    </font>
    <font>
      <i/>
      <sz val="9"/>
      <color rgb="FF5C6B82"/>
      <name val="Aptos Narrow"/>
      <family val="2"/>
      <scheme val="minor"/>
    </font>
    <font>
      <b/>
      <sz val="11"/>
      <color rgb="FF0B2545"/>
      <name val="Calibri"/>
    </font>
    <font>
      <sz val="9"/>
      <color rgb="FF5C6B82"/>
      <name val="Calibri"/>
    </font>
    <font>
      <i/>
      <sz val="9"/>
      <color rgb="FF5C6B82"/>
      <name val="Calibri"/>
    </font>
    <font>
      <b/>
      <sz val="9"/>
      <color rgb="FF6B7785"/>
      <name val="Aptos Narrow"/>
      <family val="2"/>
      <scheme val="minor"/>
    </font>
    <font>
      <b/>
      <sz val="12"/>
      <color rgb="FF0B2545"/>
      <name val="Aptos Narrow"/>
      <family val="2"/>
      <scheme val="minor"/>
    </font>
    <font>
      <b/>
      <sz val="14"/>
      <color rgb="FF0B2545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6"/>
      <color rgb="FF0B2545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D9E1EA"/>
      <name val="Aptos Narrow"/>
      <family val="2"/>
      <scheme val="minor"/>
    </font>
    <font>
      <sz val="9"/>
      <color rgb="FFD9E1EA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13315C"/>
        <bgColor indexed="64"/>
      </patternFill>
    </fill>
    <fill>
      <patternFill patternType="solid">
        <fgColor rgb="FF8DA9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3E1D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4F8F4"/>
        <bgColor indexed="64"/>
      </patternFill>
    </fill>
    <fill>
      <patternFill patternType="solid">
        <fgColor rgb="FFFBF4F2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4F7F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8DA9C4"/>
      </bottom>
      <diagonal/>
    </border>
    <border>
      <left style="thin">
        <color auto="1"/>
      </left>
      <right style="thin">
        <color auto="1"/>
      </right>
      <top style="thin">
        <color rgb="FFE5E9F0"/>
      </top>
      <bottom style="thin">
        <color rgb="FFE5E9F0"/>
      </bottom>
      <diagonal/>
    </border>
    <border>
      <left style="thin">
        <color auto="1"/>
      </left>
      <right style="thin">
        <color auto="1"/>
      </right>
      <top style="thin">
        <color rgb="FFE5E9F0"/>
      </top>
      <bottom/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C73E1D"/>
      </bottom>
      <diagonal/>
    </border>
    <border>
      <left/>
      <right/>
      <top/>
      <bottom style="medium">
        <color rgb="FF13315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2" fontId="9" fillId="5" borderId="0" xfId="0" applyNumberFormat="1" applyFont="1" applyFill="1" applyAlignment="1">
      <alignment horizontal="center" vertical="center"/>
    </xf>
    <xf numFmtId="1" fontId="11" fillId="8" borderId="1" xfId="0" applyNumberFormat="1" applyFont="1" applyFill="1" applyBorder="1" applyAlignment="1">
      <alignment horizontal="right" vertical="center"/>
    </xf>
    <xf numFmtId="1" fontId="11" fillId="8" borderId="4" xfId="0" applyNumberFormat="1" applyFont="1" applyFill="1" applyBorder="1" applyAlignment="1">
      <alignment horizontal="right" vertical="center"/>
    </xf>
    <xf numFmtId="0" fontId="0" fillId="2" borderId="0" xfId="0" applyNumberFormat="1" applyFill="1"/>
    <xf numFmtId="0" fontId="2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Alignment="1">
      <alignment horizontal="right" vertical="center"/>
    </xf>
    <xf numFmtId="0" fontId="0" fillId="3" borderId="0" xfId="0" applyNumberFormat="1" applyFill="1"/>
    <xf numFmtId="0" fontId="3" fillId="3" borderId="0" xfId="0" applyNumberFormat="1" applyFont="1" applyFill="1" applyAlignment="1">
      <alignment horizontal="left" vertical="center"/>
    </xf>
    <xf numFmtId="0" fontId="5" fillId="3" borderId="0" xfId="0" applyNumberFormat="1" applyFont="1" applyFill="1" applyAlignment="1">
      <alignment horizontal="right" vertical="center"/>
    </xf>
    <xf numFmtId="0" fontId="0" fillId="4" borderId="0" xfId="0" applyNumberFormat="1" applyFill="1"/>
    <xf numFmtId="0" fontId="6" fillId="5" borderId="0" xfId="0" applyNumberFormat="1" applyFont="1" applyFill="1" applyBorder="1"/>
    <xf numFmtId="0" fontId="0" fillId="5" borderId="0" xfId="0" applyNumberFormat="1" applyFill="1"/>
    <xf numFmtId="0" fontId="0" fillId="0" borderId="0" xfId="0" applyNumberFormat="1"/>
    <xf numFmtId="0" fontId="6" fillId="5" borderId="0" xfId="0" applyNumberFormat="1" applyFont="1" applyFill="1"/>
    <xf numFmtId="0" fontId="12" fillId="5" borderId="2" xfId="0" applyNumberFormat="1" applyFont="1" applyFill="1" applyBorder="1"/>
    <xf numFmtId="0" fontId="6" fillId="5" borderId="2" xfId="0" applyNumberFormat="1" applyFont="1" applyFill="1" applyBorder="1"/>
    <xf numFmtId="0" fontId="10" fillId="5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Alignment="1">
      <alignment vertical="center"/>
    </xf>
    <xf numFmtId="176" fontId="9" fillId="5" borderId="0" xfId="0" applyNumberFormat="1" applyFont="1" applyFill="1" applyAlignment="1">
      <alignment vertical="center"/>
    </xf>
    <xf numFmtId="176" fontId="13" fillId="5" borderId="0" xfId="0" applyNumberFormat="1" applyFont="1" applyFill="1" applyAlignment="1">
      <alignment vertical="center"/>
    </xf>
    <xf numFmtId="0" fontId="14" fillId="0" borderId="0" xfId="0" applyNumberFormat="1" applyFont="1"/>
    <xf numFmtId="0" fontId="8" fillId="2" borderId="1" xfId="0" applyNumberFormat="1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vertical="center"/>
    </xf>
    <xf numFmtId="0" fontId="15" fillId="5" borderId="4" xfId="0" applyNumberFormat="1" applyFont="1" applyFill="1" applyBorder="1" applyAlignment="1">
      <alignment vertical="center"/>
    </xf>
    <xf numFmtId="0" fontId="15" fillId="5" borderId="3" xfId="0" applyNumberFormat="1" applyFont="1" applyFill="1" applyBorder="1" applyAlignment="1">
      <alignment vertical="center"/>
    </xf>
    <xf numFmtId="176" fontId="11" fillId="8" borderId="3" xfId="0" applyNumberFormat="1" applyFont="1" applyFill="1" applyBorder="1" applyAlignment="1">
      <alignment horizontal="right" vertical="center"/>
    </xf>
    <xf numFmtId="0" fontId="8" fillId="7" borderId="0" xfId="0" applyNumberFormat="1" applyFont="1" applyFill="1" applyAlignment="1">
      <alignment horizontal="center" vertical="center"/>
    </xf>
    <xf numFmtId="0" fontId="8" fillId="6" borderId="0" xfId="0" applyNumberFormat="1" applyFont="1" applyFill="1" applyAlignment="1">
      <alignment horizontal="center" vertical="center"/>
    </xf>
    <xf numFmtId="0" fontId="7" fillId="4" borderId="0" xfId="0" applyNumberFormat="1" applyFont="1" applyFill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0" fontId="6" fillId="9" borderId="0" xfId="0" applyNumberFormat="1" applyFont="1" applyFill="1" applyAlignment="1">
      <alignment horizontal="left" vertical="center"/>
    </xf>
    <xf numFmtId="0" fontId="6" fillId="10" borderId="0" xfId="0" applyNumberFormat="1" applyFont="1" applyFill="1" applyAlignment="1">
      <alignment horizontal="left" vertical="center"/>
    </xf>
    <xf numFmtId="0" fontId="16" fillId="11" borderId="0" xfId="0" applyNumberFormat="1" applyFont="1" applyFill="1"/>
    <xf numFmtId="0" fontId="6" fillId="8" borderId="0" xfId="0" applyNumberFormat="1" applyFont="1" applyFill="1" applyBorder="1" applyAlignment="1">
      <alignment horizontal="left" vertical="center"/>
    </xf>
    <xf numFmtId="0" fontId="6" fillId="5" borderId="0" xfId="0" applyNumberFormat="1" applyFont="1" applyFill="1" applyAlignment="1">
      <alignment horizontal="left" vertical="center"/>
    </xf>
    <xf numFmtId="0" fontId="6" fillId="5" borderId="7" xfId="0" applyNumberFormat="1" applyFont="1" applyFill="1" applyBorder="1" applyAlignment="1">
      <alignment horizontal="left" vertical="center"/>
    </xf>
    <xf numFmtId="0" fontId="6" fillId="5" borderId="5" xfId="0" applyNumberFormat="1" applyFont="1" applyFill="1" applyBorder="1" applyAlignment="1">
      <alignment horizontal="left" vertical="center"/>
    </xf>
    <xf numFmtId="0" fontId="6" fillId="5" borderId="6" xfId="0" applyNumberFormat="1" applyFont="1" applyFill="1" applyBorder="1" applyAlignment="1">
      <alignment horizontal="left" vertical="center"/>
    </xf>
    <xf numFmtId="0" fontId="17" fillId="5" borderId="0" xfId="0" applyNumberFormat="1" applyFont="1" applyFill="1"/>
    <xf numFmtId="0" fontId="18" fillId="0" borderId="0" xfId="0" applyFont="1" applyAlignment="1">
      <alignment horizontal="center"/>
    </xf>
    <xf numFmtId="0" fontId="19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7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76" fontId="22" fillId="15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77" fontId="9" fillId="5" borderId="0" xfId="0" applyNumberFormat="1" applyFont="1" applyFill="1" applyBorder="1" applyAlignment="1">
      <alignment horizontal="center"/>
    </xf>
    <xf numFmtId="176" fontId="9" fillId="5" borderId="0" xfId="0" applyNumberFormat="1" applyFont="1" applyFill="1" applyBorder="1" applyAlignment="1">
      <alignment horizontal="center"/>
    </xf>
    <xf numFmtId="177" fontId="24" fillId="5" borderId="0" xfId="0" applyNumberFormat="1" applyFont="1" applyFill="1" applyAlignment="1">
      <alignment horizontal="center"/>
    </xf>
    <xf numFmtId="176" fontId="24" fillId="5" borderId="0" xfId="0" applyNumberFormat="1" applyFont="1" applyFill="1" applyAlignment="1">
      <alignment horizontal="center"/>
    </xf>
    <xf numFmtId="177" fontId="24" fillId="15" borderId="0" xfId="0" applyNumberFormat="1" applyFont="1" applyFill="1" applyAlignment="1">
      <alignment horizontal="center"/>
    </xf>
    <xf numFmtId="176" fontId="24" fillId="15" borderId="0" xfId="0" applyNumberFormat="1" applyFont="1" applyFill="1" applyAlignment="1">
      <alignment horizontal="center"/>
    </xf>
    <xf numFmtId="177" fontId="9" fillId="15" borderId="0" xfId="0" applyNumberFormat="1" applyFont="1" applyFill="1" applyBorder="1" applyAlignment="1">
      <alignment horizontal="center"/>
    </xf>
    <xf numFmtId="176" fontId="9" fillId="15" borderId="0" xfId="0" applyNumberFormat="1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0" fillId="0" borderId="0" xfId="0"/>
    <xf numFmtId="0" fontId="5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19" fillId="0" borderId="0" xfId="0" applyFont="1"/>
    <xf numFmtId="0" fontId="27" fillId="15" borderId="0" xfId="0" applyFont="1" applyFill="1" applyAlignment="1">
      <alignment horizontal="center"/>
    </xf>
    <xf numFmtId="176" fontId="24" fillId="15" borderId="0" xfId="0" applyNumberFormat="1" applyFont="1" applyFill="1" applyAlignment="1">
      <alignment horizontal="right"/>
    </xf>
    <xf numFmtId="0" fontId="27" fillId="5" borderId="0" xfId="0" applyFont="1" applyFill="1" applyAlignment="1">
      <alignment horizontal="center"/>
    </xf>
    <xf numFmtId="176" fontId="24" fillId="5" borderId="0" xfId="0" applyNumberFormat="1" applyFont="1" applyFill="1" applyAlignment="1">
      <alignment horizontal="right"/>
    </xf>
    <xf numFmtId="0" fontId="24" fillId="15" borderId="0" xfId="0" applyFont="1" applyFill="1" applyAlignment="1">
      <alignment horizontal="left"/>
    </xf>
    <xf numFmtId="0" fontId="24" fillId="5" borderId="0" xfId="0" applyFont="1" applyFill="1" applyAlignment="1">
      <alignment horizontal="left"/>
    </xf>
  </cellXfs>
  <cellStyles count="1">
    <cellStyle name="Normal" xfId="0" builtinId="0"/>
  </cellStyles>
  <dxfs count="9"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b/>
        <sz val="10"/>
        <color rgb="FF0B2545"/>
        <name val="Calibri"/>
      </font>
      <numFmt numFmtId="174" formatCode="&quot;S/ &quot;#,##0.00;[Red]&quot;S/ &quot;#,##0.00;&quot;-&quot;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numFmt numFmtId="173" formatCode="&quot;S/ &quot;#,##0.00;;&quot;-&quot;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numFmt numFmtId="173" formatCode="&quot;S/ &quot;#,##0.00;;&quot;-&quot;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numFmt numFmtId="172" formatCode="dd\-mmm\-yyyy"/>
      <fill>
        <patternFill patternType="solid">
          <fgColor indexed="64"/>
          <bgColor rgb="FFFFFFFF"/>
        </patternFill>
      </fill>
      <alignment horizontal="center" vertical="center"/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vertical="center"/>
    </dxf>
    <dxf>
      <font>
        <b/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254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Año — mes a mes (Ingresos vs Egresos)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254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Tablas!$E$7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Tablas!$D$8:$D$19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Tablas!$E$8:$E$19</c:f>
              <c:numCache>
                <c:formatCode>#,##0.00;[Red]\-#,##0.00;\-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1-43ED-B41F-C545FC375EA0}"/>
            </c:ext>
          </c:extLst>
        </c:ser>
        <c:ser>
          <c:idx val="1"/>
          <c:order val="1"/>
          <c:tx>
            <c:strRef>
              <c:f>Tablas!$F$7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62828"/>
            </a:solidFill>
            <a:ln>
              <a:noFill/>
            </a:ln>
            <a:effectLst/>
          </c:spPr>
          <c:invertIfNegative val="0"/>
          <c:cat>
            <c:strRef>
              <c:f>Tablas!$D$8:$D$19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Tablas!$F$8:$F$19</c:f>
              <c:numCache>
                <c:formatCode>#,##0.00;[Red]\-#,##0.00;\-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E1-43ED-B41F-C545FC37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589232"/>
        <c:axId val="1458587792"/>
      </c:barChart>
      <c:catAx>
        <c:axId val="14585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87792"/>
        <c:crosses val="autoZero"/>
        <c:auto val="1"/>
        <c:lblAlgn val="ctr"/>
        <c:lblOffset val="100"/>
        <c:noMultiLvlLbl val="0"/>
      </c:catAx>
      <c:valAx>
        <c:axId val="14585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8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1EA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254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categorías de gasto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254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B2545"/>
            </a:solidFill>
            <a:ln>
              <a:noFill/>
            </a:ln>
            <a:effectLst/>
          </c:spPr>
          <c:invertIfNegative val="0"/>
          <c:cat>
            <c:strRef>
              <c:f>Tablas!$J$8:$J$12</c:f>
              <c:strCache>
                <c:ptCount val="2"/>
                <c:pt idx="0">
                  <c:v>Proveedores</c:v>
                </c:pt>
                <c:pt idx="1">
                  <c:v>Transporte y fletes</c:v>
                </c:pt>
              </c:strCache>
            </c:strRef>
          </c:cat>
          <c:val>
            <c:numRef>
              <c:f>Tablas!$K$8:$K$12</c:f>
              <c:numCache>
                <c:formatCode>#,##0.00;[Red]\-#,##0.00;\-</c:formatCode>
                <c:ptCount val="5"/>
                <c:pt idx="0">
                  <c:v>180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0AA-9D25-E20A903AE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8591152"/>
        <c:axId val="1458590192"/>
      </c:barChart>
      <c:catAx>
        <c:axId val="145859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90192"/>
        <c:crosses val="autoZero"/>
        <c:auto val="1"/>
        <c:lblAlgn val="ctr"/>
        <c:lblOffset val="100"/>
        <c:noMultiLvlLbl val="0"/>
      </c:catAx>
      <c:valAx>
        <c:axId val="145859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9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1EA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2545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Flujo del mes — día a día (Ingresos vs Egresos)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254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Dashboard!$D$12:$D$42</c:f>
              <c:strCache>
                <c:ptCount val="30"/>
                <c:pt idx="0">
                  <c:v>1-nov-2026</c:v>
                </c:pt>
                <c:pt idx="1">
                  <c:v>2-nov-2026</c:v>
                </c:pt>
                <c:pt idx="2">
                  <c:v>3-nov-2026</c:v>
                </c:pt>
                <c:pt idx="3">
                  <c:v>4-nov-2026</c:v>
                </c:pt>
                <c:pt idx="4">
                  <c:v>5-nov-2026</c:v>
                </c:pt>
                <c:pt idx="5">
                  <c:v>6-nov-2026</c:v>
                </c:pt>
                <c:pt idx="6">
                  <c:v>7-nov-2026</c:v>
                </c:pt>
                <c:pt idx="7">
                  <c:v>8-nov-2026</c:v>
                </c:pt>
                <c:pt idx="8">
                  <c:v>9-nov-2026</c:v>
                </c:pt>
                <c:pt idx="9">
                  <c:v>10-nov-2026</c:v>
                </c:pt>
                <c:pt idx="10">
                  <c:v>11-nov-2026</c:v>
                </c:pt>
                <c:pt idx="11">
                  <c:v>12-nov-2026</c:v>
                </c:pt>
                <c:pt idx="12">
                  <c:v>13-nov-2026</c:v>
                </c:pt>
                <c:pt idx="13">
                  <c:v>14-nov-2026</c:v>
                </c:pt>
                <c:pt idx="14">
                  <c:v>15-nov-2026</c:v>
                </c:pt>
                <c:pt idx="15">
                  <c:v>16-nov-2026</c:v>
                </c:pt>
                <c:pt idx="16">
                  <c:v>17-nov-2026</c:v>
                </c:pt>
                <c:pt idx="17">
                  <c:v>18-nov-2026</c:v>
                </c:pt>
                <c:pt idx="18">
                  <c:v>19-nov-2026</c:v>
                </c:pt>
                <c:pt idx="19">
                  <c:v>20-nov-2026</c:v>
                </c:pt>
                <c:pt idx="20">
                  <c:v>21-nov-2026</c:v>
                </c:pt>
                <c:pt idx="21">
                  <c:v>22-nov-2026</c:v>
                </c:pt>
                <c:pt idx="22">
                  <c:v>23-nov-2026</c:v>
                </c:pt>
                <c:pt idx="23">
                  <c:v>24-nov-2026</c:v>
                </c:pt>
                <c:pt idx="24">
                  <c:v>25-nov-2026</c:v>
                </c:pt>
                <c:pt idx="25">
                  <c:v>26-nov-2026</c:v>
                </c:pt>
                <c:pt idx="26">
                  <c:v>27-nov-2026</c:v>
                </c:pt>
                <c:pt idx="27">
                  <c:v>28-nov-2026</c:v>
                </c:pt>
                <c:pt idx="28">
                  <c:v>29-nov-2026</c:v>
                </c:pt>
                <c:pt idx="29">
                  <c:v>30-nov-2026</c:v>
                </c:pt>
              </c:strCache>
            </c:strRef>
          </c:cat>
          <c:val>
            <c:numRef>
              <c:f>Dashboard!$E$12:$E$42</c:f>
              <c:numCache>
                <c:formatCode>#,##0.00;[Red]\-#,##0.00;\-</c:formatCode>
                <c:ptCount val="31"/>
                <c:pt idx="0">
                  <c:v>3500</c:v>
                </c:pt>
                <c:pt idx="1">
                  <c:v>0</c:v>
                </c:pt>
                <c:pt idx="2">
                  <c:v>5000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1-47CC-8F89-EFFE6272C32A}"/>
            </c:ext>
          </c:extLst>
        </c:ser>
        <c:ser>
          <c:idx val="1"/>
          <c:order val="1"/>
          <c:tx>
            <c:v>Egresos</c:v>
          </c:tx>
          <c:spPr>
            <a:solidFill>
              <a:srgbClr val="C62828"/>
            </a:solidFill>
            <a:ln>
              <a:noFill/>
            </a:ln>
            <a:effectLst/>
          </c:spPr>
          <c:invertIfNegative val="0"/>
          <c:cat>
            <c:strRef>
              <c:f>Dashboard!$D$12:$D$42</c:f>
              <c:strCache>
                <c:ptCount val="30"/>
                <c:pt idx="0">
                  <c:v>1-nov-2026</c:v>
                </c:pt>
                <c:pt idx="1">
                  <c:v>2-nov-2026</c:v>
                </c:pt>
                <c:pt idx="2">
                  <c:v>3-nov-2026</c:v>
                </c:pt>
                <c:pt idx="3">
                  <c:v>4-nov-2026</c:v>
                </c:pt>
                <c:pt idx="4">
                  <c:v>5-nov-2026</c:v>
                </c:pt>
                <c:pt idx="5">
                  <c:v>6-nov-2026</c:v>
                </c:pt>
                <c:pt idx="6">
                  <c:v>7-nov-2026</c:v>
                </c:pt>
                <c:pt idx="7">
                  <c:v>8-nov-2026</c:v>
                </c:pt>
                <c:pt idx="8">
                  <c:v>9-nov-2026</c:v>
                </c:pt>
                <c:pt idx="9">
                  <c:v>10-nov-2026</c:v>
                </c:pt>
                <c:pt idx="10">
                  <c:v>11-nov-2026</c:v>
                </c:pt>
                <c:pt idx="11">
                  <c:v>12-nov-2026</c:v>
                </c:pt>
                <c:pt idx="12">
                  <c:v>13-nov-2026</c:v>
                </c:pt>
                <c:pt idx="13">
                  <c:v>14-nov-2026</c:v>
                </c:pt>
                <c:pt idx="14">
                  <c:v>15-nov-2026</c:v>
                </c:pt>
                <c:pt idx="15">
                  <c:v>16-nov-2026</c:v>
                </c:pt>
                <c:pt idx="16">
                  <c:v>17-nov-2026</c:v>
                </c:pt>
                <c:pt idx="17">
                  <c:v>18-nov-2026</c:v>
                </c:pt>
                <c:pt idx="18">
                  <c:v>19-nov-2026</c:v>
                </c:pt>
                <c:pt idx="19">
                  <c:v>20-nov-2026</c:v>
                </c:pt>
                <c:pt idx="20">
                  <c:v>21-nov-2026</c:v>
                </c:pt>
                <c:pt idx="21">
                  <c:v>22-nov-2026</c:v>
                </c:pt>
                <c:pt idx="22">
                  <c:v>23-nov-2026</c:v>
                </c:pt>
                <c:pt idx="23">
                  <c:v>24-nov-2026</c:v>
                </c:pt>
                <c:pt idx="24">
                  <c:v>25-nov-2026</c:v>
                </c:pt>
                <c:pt idx="25">
                  <c:v>26-nov-2026</c:v>
                </c:pt>
                <c:pt idx="26">
                  <c:v>27-nov-2026</c:v>
                </c:pt>
                <c:pt idx="27">
                  <c:v>28-nov-2026</c:v>
                </c:pt>
                <c:pt idx="28">
                  <c:v>29-nov-2026</c:v>
                </c:pt>
                <c:pt idx="29">
                  <c:v>30-nov-2026</c:v>
                </c:pt>
              </c:strCache>
            </c:strRef>
          </c:cat>
          <c:val>
            <c:numRef>
              <c:f>Dashboard!$F$12:$F$42</c:f>
              <c:numCache>
                <c:formatCode>#,##0.00;[Red]\-#,##0.00;\-</c:formatCode>
                <c:ptCount val="31"/>
                <c:pt idx="0">
                  <c:v>0</c:v>
                </c:pt>
                <c:pt idx="1">
                  <c:v>180</c:v>
                </c:pt>
                <c:pt idx="2">
                  <c:v>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1-47CC-8F89-EFFE6272C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719807"/>
        <c:axId val="1354718847"/>
      </c:barChart>
      <c:dateAx>
        <c:axId val="1354719807"/>
        <c:scaling>
          <c:orientation val="minMax"/>
        </c:scaling>
        <c:delete val="0"/>
        <c:axPos val="b"/>
        <c:numFmt formatCode="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4718847"/>
        <c:crosses val="autoZero"/>
        <c:auto val="1"/>
        <c:lblOffset val="100"/>
        <c:baseTimeUnit val="days"/>
      </c:dateAx>
      <c:valAx>
        <c:axId val="13547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47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1EA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tmp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4</xdr:col>
      <xdr:colOff>33337</xdr:colOff>
      <xdr:row>1</xdr:row>
      <xdr:rowOff>331787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718DB01-BC16-8ADD-DC04-CF76423D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1905000" cy="635000"/>
        </a:xfrm>
        <a:prstGeom prst="rect">
          <a:avLst/>
        </a:prstGeom>
      </xdr:spPr>
    </xdr:pic>
    <xdr:clientData/>
  </xdr:twoCellAnchor>
  <xdr:twoCellAnchor>
    <xdr:from>
      <xdr:col>10</xdr:col>
      <xdr:colOff>228600</xdr:colOff>
      <xdr:row>15</xdr:row>
      <xdr:rowOff>174625</xdr:rowOff>
    </xdr:from>
    <xdr:to>
      <xdr:col>20</xdr:col>
      <xdr:colOff>104775</xdr:colOff>
      <xdr:row>29</xdr:row>
      <xdr:rowOff>168275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3D740C7-8743-2C52-96C3-A88B67E13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228600</xdr:colOff>
      <xdr:row>30</xdr:row>
      <xdr:rowOff>95250</xdr:rowOff>
    </xdr:from>
    <xdr:to>
      <xdr:col>20</xdr:col>
      <xdr:colOff>104775</xdr:colOff>
      <xdr:row>44</xdr:row>
      <xdr:rowOff>136525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C5BDB05-0372-50CC-1CD0-031552D36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228600</xdr:colOff>
      <xdr:row>4</xdr:row>
      <xdr:rowOff>273050</xdr:rowOff>
    </xdr:from>
    <xdr:to>
      <xdr:col>20</xdr:col>
      <xdr:colOff>104775</xdr:colOff>
      <xdr:row>15</xdr:row>
      <xdr:rowOff>47625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2275F03D-333E-8466-DC7F-6E0A29774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2</xdr:col>
      <xdr:colOff>619125</xdr:colOff>
      <xdr:row>1</xdr:row>
      <xdr:rowOff>336550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4E14F-D48E-8255-E0B2-C2F27F11D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1905000" cy="63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3</xdr:col>
      <xdr:colOff>1676400</xdr:colOff>
      <xdr:row>1</xdr:row>
      <xdr:rowOff>336550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376512-3674-81F7-51BF-558A175A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1905000" cy="635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BA22F-D51B-43B6-855A-7ED45C87C5F0}" name="tblMov" displayName="tblMov" ref="B6:H66" totalsRowShown="0" headerRowDxfId="8" dataDxfId="5">
  <autoFilter ref="B6:H66" xr:uid="{6F1BA22F-D51B-43B6-855A-7ED45C87C5F0}"/>
  <tableColumns count="7">
    <tableColumn id="1" xr3:uid="{6485F88A-E812-4150-BC71-51564A41DFC2}" name="Fecha" dataDxfId="4"/>
    <tableColumn id="2" xr3:uid="{F47BCB78-3D6F-47B7-9BD9-CEAC5DDC85EF}" name="Tipo" dataDxfId="0"/>
    <tableColumn id="3" xr3:uid="{E7D29441-F7CE-466C-A7FD-019E008C562C}" name="Categoría" dataDxfId="7"/>
    <tableColumn id="4" xr3:uid="{796B8639-634B-4657-98CE-C70877FDD816}" name="Descripción" dataDxfId="6"/>
    <tableColumn id="5" xr3:uid="{D893341E-1381-4B60-9FA3-E54E2E3D1E31}" name="Ingreso" dataDxfId="3"/>
    <tableColumn id="6" xr3:uid="{EA076322-E000-4181-A661-CCD97D81985A}" name="Egreso" dataDxfId="2"/>
    <tableColumn id="7" xr3:uid="{4ABCD583-49BF-4611-9440-D98F51DAFB81}" name="Saldo del día" dataDxfId="1">
      <calculatedColumnFormula>IF(tblMov[[#This Row],[Fecha]]="","",SaldoInicial+SUMIFS(tblMov[Ingreso],tblMov[Fecha],"&lt;="&amp;tblMov[[#This Row],[Fecha]])-SUMIFS(tblMov[Egreso],tblMov[Fecha],"&lt;="&amp;tblMov[[#This Row],[Fecha]]))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34D5-FA79-4BC5-9499-100BB313E62F}">
  <dimension ref="A1:N100"/>
  <sheetViews>
    <sheetView showGridLines="0" showRowColHeaders="0" zoomScale="80" zoomScaleNormal="80" workbookViewId="0">
      <selection activeCell="H17" sqref="H17"/>
    </sheetView>
  </sheetViews>
  <sheetFormatPr baseColWidth="10" defaultRowHeight="15" x14ac:dyDescent="0.25"/>
  <cols>
    <col min="1" max="2" width="2.28515625" customWidth="1"/>
    <col min="3" max="3" width="1.140625" customWidth="1"/>
    <col min="4" max="4" width="24.7109375" customWidth="1"/>
    <col min="5" max="6" width="21" customWidth="1"/>
    <col min="7" max="7" width="24.7109375" customWidth="1"/>
    <col min="8" max="8" width="2.7109375" customWidth="1"/>
    <col min="9" max="9" width="5.28515625" customWidth="1"/>
    <col min="10" max="10" width="28.5703125" customWidth="1"/>
    <col min="11" max="11" width="21" customWidth="1"/>
    <col min="12" max="12" width="2.7109375" customWidth="1"/>
    <col min="13" max="14" width="0.140625" customWidth="1"/>
    <col min="15" max="15" width="2.7109375" customWidth="1"/>
    <col min="16" max="16" width="5.7109375" customWidth="1"/>
    <col min="18" max="19" width="19" customWidth="1"/>
  </cols>
  <sheetData>
    <row r="1" spans="1:14" ht="32.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2.1" customHeight="1" x14ac:dyDescent="0.25">
      <c r="A2" s="7"/>
      <c r="B2" s="7"/>
      <c r="C2" s="7"/>
      <c r="D2" s="7"/>
      <c r="E2" s="8"/>
      <c r="F2" s="7"/>
      <c r="G2" s="8" t="s">
        <v>43</v>
      </c>
      <c r="H2" s="7"/>
      <c r="I2" s="7"/>
      <c r="J2" s="7"/>
      <c r="K2" s="7"/>
      <c r="L2" s="9" t="s">
        <v>45</v>
      </c>
      <c r="M2" s="7"/>
      <c r="N2" s="7"/>
    </row>
    <row r="3" spans="1:14" ht="21.95" customHeight="1" x14ac:dyDescent="0.25">
      <c r="A3" s="10"/>
      <c r="B3" s="10"/>
      <c r="C3" s="10"/>
      <c r="D3" s="10"/>
      <c r="E3" s="11"/>
      <c r="F3" s="10"/>
      <c r="G3" s="11" t="s">
        <v>44</v>
      </c>
      <c r="H3" s="10"/>
      <c r="I3" s="10"/>
      <c r="J3" s="10"/>
      <c r="K3" s="10"/>
      <c r="L3" s="12" t="s">
        <v>42</v>
      </c>
      <c r="M3" s="10"/>
      <c r="N3" s="10"/>
    </row>
    <row r="4" spans="1:14" ht="3.9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1.95" customHeight="1" x14ac:dyDescent="0.25">
      <c r="A5" s="14"/>
      <c r="B5" s="14"/>
      <c r="C5" s="14"/>
      <c r="D5" s="44" t="s">
        <v>58</v>
      </c>
      <c r="E5" s="44" t="s">
        <v>59</v>
      </c>
      <c r="F5" s="44" t="s">
        <v>60</v>
      </c>
      <c r="H5" s="14"/>
      <c r="I5" s="14"/>
      <c r="J5" s="14"/>
      <c r="K5" s="14"/>
      <c r="L5" s="14"/>
      <c r="M5" s="14"/>
      <c r="N5" s="14"/>
    </row>
    <row r="6" spans="1:14" ht="21.95" customHeight="1" x14ac:dyDescent="0.3">
      <c r="A6" s="14"/>
      <c r="B6" s="14"/>
      <c r="C6" s="14"/>
      <c r="D6" s="45" t="str">
        <f>TEXT(DATE(Anio,Mes,1),"mmmm yyyy")</f>
        <v>noviembre 2026</v>
      </c>
      <c r="E6" s="46">
        <v>11</v>
      </c>
      <c r="F6" s="46">
        <v>2026</v>
      </c>
      <c r="H6" s="14"/>
      <c r="I6" s="14"/>
      <c r="J6" s="14"/>
      <c r="K6" s="14"/>
      <c r="L6" s="14"/>
      <c r="M6" s="14"/>
      <c r="N6" s="14"/>
    </row>
    <row r="7" spans="1:14" ht="12" customHeight="1" x14ac:dyDescent="0.25">
      <c r="A7" s="14"/>
      <c r="B7" s="14"/>
      <c r="C7" s="14"/>
      <c r="H7" s="14"/>
    </row>
    <row r="8" spans="1:14" ht="21.95" customHeight="1" x14ac:dyDescent="0.25">
      <c r="A8" s="14"/>
      <c r="B8" s="14"/>
      <c r="C8" s="14"/>
      <c r="D8" s="47" t="s">
        <v>50</v>
      </c>
      <c r="E8" s="48" t="s">
        <v>51</v>
      </c>
      <c r="F8" s="49" t="s">
        <v>52</v>
      </c>
      <c r="G8" s="50" t="s">
        <v>53</v>
      </c>
      <c r="H8" s="14"/>
    </row>
    <row r="9" spans="1:14" ht="36" customHeight="1" x14ac:dyDescent="0.25">
      <c r="A9" s="14"/>
      <c r="B9" s="14"/>
      <c r="C9" s="14"/>
      <c r="D9" s="51">
        <f>SUMIFS(tblMov[Ingreso],tblMov[Fecha],"&gt;="&amp;DATE(Anio,Mes,1),tblMov[Fecha],"&lt;="&amp;EOMONTH(DATE(Anio,Mes,1),0))</f>
        <v>8500</v>
      </c>
      <c r="E9" s="51">
        <f>SUMIFS(tblMov[Egreso],tblMov[Fecha],"&gt;="&amp;DATE(Anio,Mes,1),tblMov[Fecha],"&lt;="&amp;EOMONTH(DATE(Anio,Mes,1),0))</f>
        <v>240</v>
      </c>
      <c r="F9" s="51">
        <f>D9-E9</f>
        <v>8260</v>
      </c>
      <c r="G9" s="51">
        <f>SaldoInicial+F9</f>
        <v>9260</v>
      </c>
      <c r="H9" s="14"/>
    </row>
    <row r="10" spans="1:14" ht="21.95" customHeight="1" x14ac:dyDescent="0.25">
      <c r="A10" s="14"/>
      <c r="B10" s="14"/>
      <c r="C10" s="14"/>
      <c r="H10" s="14"/>
    </row>
    <row r="11" spans="1:14" ht="21.95" customHeight="1" x14ac:dyDescent="0.25">
      <c r="A11" s="14"/>
      <c r="B11" s="14"/>
      <c r="C11" s="14"/>
      <c r="D11" s="52" t="s">
        <v>33</v>
      </c>
      <c r="E11" s="52" t="s">
        <v>34</v>
      </c>
      <c r="F11" s="52" t="s">
        <v>35</v>
      </c>
      <c r="G11" s="52" t="s">
        <v>36</v>
      </c>
      <c r="H11" s="14"/>
    </row>
    <row r="12" spans="1:14" ht="21.95" customHeight="1" x14ac:dyDescent="0.25">
      <c r="A12" s="14"/>
      <c r="B12" s="14"/>
      <c r="C12" s="14"/>
      <c r="D12" s="55">
        <f>IF(MONTH(DATE(Anio,Mes,ROW()-11))=Mes,DATE(Anio,Mes,ROW()-11),"")</f>
        <v>46327</v>
      </c>
      <c r="E12" s="56">
        <f>IF(D12="","",SUMIFS(tblMov[Ingreso],tblMov[Fecha],D12))</f>
        <v>3500</v>
      </c>
      <c r="F12" s="56">
        <f>IF(D12="","",SUMIFS(tblMov[Egreso],tblMov[Fecha],D12))</f>
        <v>0</v>
      </c>
      <c r="G12" s="56">
        <f>IF(D12="","",SaldoInicial+SUMIFS(tblMov[Ingreso],tblMov[Fecha],"&lt;="&amp;D12,tblMov[Fecha],"&gt;="&amp;DATE(Anio,Mes,1))-SUMIFS(tblMov[Egreso],tblMov[Fecha],"&lt;="&amp;D12,tblMov[Fecha],"&gt;="&amp;DATE(Anio,Mes,1)))</f>
        <v>4500</v>
      </c>
      <c r="H12" s="14"/>
    </row>
    <row r="13" spans="1:14" ht="21.95" customHeight="1" x14ac:dyDescent="0.25">
      <c r="A13" s="14"/>
      <c r="B13" s="14"/>
      <c r="C13" s="14"/>
      <c r="D13" s="57">
        <f>IF(MONTH(DATE(Anio,Mes,ROW()-11))=Mes,DATE(Anio,Mes,ROW()-11),"")</f>
        <v>46328</v>
      </c>
      <c r="E13" s="58">
        <f>IF(D13="","",SUMIFS(tblMov[Ingreso],tblMov[Fecha],D13))</f>
        <v>0</v>
      </c>
      <c r="F13" s="58">
        <f>IF(D13="","",SUMIFS(tblMov[Egreso],tblMov[Fecha],D13))</f>
        <v>180</v>
      </c>
      <c r="G13" s="58">
        <f>IF(D13="","",SaldoInicial+SUMIFS(tblMov[Ingreso],tblMov[Fecha],"&lt;="&amp;D13,tblMov[Fecha],"&gt;="&amp;DATE(Anio,Mes,1))-SUMIFS(tblMov[Egreso],tblMov[Fecha],"&lt;="&amp;D13,tblMov[Fecha],"&gt;="&amp;DATE(Anio,Mes,1)))</f>
        <v>4320</v>
      </c>
      <c r="H13" s="14"/>
    </row>
    <row r="14" spans="1:14" ht="21.95" customHeight="1" x14ac:dyDescent="0.25">
      <c r="A14" s="14"/>
      <c r="B14" s="14"/>
      <c r="C14" s="14"/>
      <c r="D14" s="55">
        <f>IF(MONTH(DATE(Anio,Mes,ROW()-11))=Mes,DATE(Anio,Mes,ROW()-11),"")</f>
        <v>46329</v>
      </c>
      <c r="E14" s="56">
        <f>IF(D14="","",SUMIFS(tblMov[Ingreso],tblMov[Fecha],D14))</f>
        <v>5000</v>
      </c>
      <c r="F14" s="56">
        <f>IF(D14="","",SUMIFS(tblMov[Egreso],tblMov[Fecha],D14))</f>
        <v>60</v>
      </c>
      <c r="G14" s="56">
        <f>IF(D14="","",SaldoInicial+SUMIFS(tblMov[Ingreso],tblMov[Fecha],"&lt;="&amp;D14,tblMov[Fecha],"&gt;="&amp;DATE(Anio,Mes,1))-SUMIFS(tblMov[Egreso],tblMov[Fecha],"&lt;="&amp;D14,tblMov[Fecha],"&gt;="&amp;DATE(Anio,Mes,1)))</f>
        <v>9260</v>
      </c>
      <c r="H14" s="14"/>
    </row>
    <row r="15" spans="1:14" ht="15.95" customHeight="1" x14ac:dyDescent="0.25">
      <c r="A15" s="14"/>
      <c r="B15" s="14"/>
      <c r="C15" s="14"/>
      <c r="D15" s="57">
        <f>IF(MONTH(DATE(Anio,Mes,ROW()-11))=Mes,DATE(Anio,Mes,ROW()-11),"")</f>
        <v>46330</v>
      </c>
      <c r="E15" s="58">
        <f>IF(D15="","",SUMIFS(tblMov[Ingreso],tblMov[Fecha],D15))</f>
        <v>0</v>
      </c>
      <c r="F15" s="58">
        <f>IF(D15="","",SUMIFS(tblMov[Egreso],tblMov[Fecha],D15))</f>
        <v>0</v>
      </c>
      <c r="G15" s="58">
        <f>IF(D15="","",SaldoInicial+SUMIFS(tblMov[Ingreso],tblMov[Fecha],"&lt;="&amp;D15,tblMov[Fecha],"&gt;="&amp;DATE(Anio,Mes,1))-SUMIFS(tblMov[Egreso],tblMov[Fecha],"&lt;="&amp;D15,tblMov[Fecha],"&gt;="&amp;DATE(Anio,Mes,1)))</f>
        <v>9260</v>
      </c>
      <c r="H15" s="14"/>
    </row>
    <row r="16" spans="1:14" ht="15.95" customHeight="1" x14ac:dyDescent="0.25">
      <c r="A16" s="14"/>
      <c r="B16" s="14"/>
      <c r="C16" s="14"/>
      <c r="D16" s="55">
        <f>IF(MONTH(DATE(Anio,Mes,ROW()-11))=Mes,DATE(Anio,Mes,ROW()-11),"")</f>
        <v>46331</v>
      </c>
      <c r="E16" s="56">
        <f>IF(D16="","",SUMIFS(tblMov[Ingreso],tblMov[Fecha],D16))</f>
        <v>0</v>
      </c>
      <c r="F16" s="56">
        <f>IF(D16="","",SUMIFS(tblMov[Egreso],tblMov[Fecha],D16))</f>
        <v>0</v>
      </c>
      <c r="G16" s="56">
        <f>IF(D16="","",SaldoInicial+SUMIFS(tblMov[Ingreso],tblMov[Fecha],"&lt;="&amp;D16,tblMov[Fecha],"&gt;="&amp;DATE(Anio,Mes,1))-SUMIFS(tblMov[Egreso],tblMov[Fecha],"&lt;="&amp;D16,tblMov[Fecha],"&gt;="&amp;DATE(Anio,Mes,1)))</f>
        <v>9260</v>
      </c>
      <c r="H16" s="14"/>
    </row>
    <row r="17" spans="1:14" ht="15.95" customHeight="1" x14ac:dyDescent="0.25">
      <c r="A17" s="14"/>
      <c r="B17" s="14"/>
      <c r="C17" s="14"/>
      <c r="D17" s="57">
        <f>IF(MONTH(DATE(Anio,Mes,ROW()-11))=Mes,DATE(Anio,Mes,ROW()-11),"")</f>
        <v>46332</v>
      </c>
      <c r="E17" s="58">
        <f>IF(D17="","",SUMIFS(tblMov[Ingreso],tblMov[Fecha],D17))</f>
        <v>0</v>
      </c>
      <c r="F17" s="58">
        <f>IF(D17="","",SUMIFS(tblMov[Egreso],tblMov[Fecha],D17))</f>
        <v>0</v>
      </c>
      <c r="G17" s="58">
        <f>IF(D17="","",SaldoInicial+SUMIFS(tblMov[Ingreso],tblMov[Fecha],"&lt;="&amp;D17,tblMov[Fecha],"&gt;="&amp;DATE(Anio,Mes,1))-SUMIFS(tblMov[Egreso],tblMov[Fecha],"&lt;="&amp;D17,tblMov[Fecha],"&gt;="&amp;DATE(Anio,Mes,1)))</f>
        <v>9260</v>
      </c>
      <c r="H17" s="14"/>
    </row>
    <row r="18" spans="1:14" ht="15.95" customHeight="1" x14ac:dyDescent="0.25">
      <c r="A18" s="14"/>
      <c r="B18" s="14"/>
      <c r="C18" s="14"/>
      <c r="D18" s="55">
        <f>IF(MONTH(DATE(Anio,Mes,ROW()-11))=Mes,DATE(Anio,Mes,ROW()-11),"")</f>
        <v>46333</v>
      </c>
      <c r="E18" s="56">
        <f>IF(D18="","",SUMIFS(tblMov[Ingreso],tblMov[Fecha],D18))</f>
        <v>0</v>
      </c>
      <c r="F18" s="56">
        <f>IF(D18="","",SUMIFS(tblMov[Egreso],tblMov[Fecha],D18))</f>
        <v>0</v>
      </c>
      <c r="G18" s="56">
        <f>IF(D18="","",SaldoInicial+SUMIFS(tblMov[Ingreso],tblMov[Fecha],"&lt;="&amp;D18,tblMov[Fecha],"&gt;="&amp;DATE(Anio,Mes,1))-SUMIFS(tblMov[Egreso],tblMov[Fecha],"&lt;="&amp;D18,tblMov[Fecha],"&gt;="&amp;DATE(Anio,Mes,1)))</f>
        <v>9260</v>
      </c>
      <c r="H18" s="14"/>
    </row>
    <row r="19" spans="1:14" ht="15.95" customHeight="1" x14ac:dyDescent="0.25">
      <c r="A19" s="14"/>
      <c r="B19" s="14"/>
      <c r="C19" s="14"/>
      <c r="D19" s="57">
        <f>IF(MONTH(DATE(Anio,Mes,ROW()-11))=Mes,DATE(Anio,Mes,ROW()-11),"")</f>
        <v>46334</v>
      </c>
      <c r="E19" s="58">
        <f>IF(D19="","",SUMIFS(tblMov[Ingreso],tblMov[Fecha],D19))</f>
        <v>0</v>
      </c>
      <c r="F19" s="58">
        <f>IF(D19="","",SUMIFS(tblMov[Egreso],tblMov[Fecha],D19))</f>
        <v>0</v>
      </c>
      <c r="G19" s="58">
        <f>IF(D19="","",SaldoInicial+SUMIFS(tblMov[Ingreso],tblMov[Fecha],"&lt;="&amp;D19,tblMov[Fecha],"&gt;="&amp;DATE(Anio,Mes,1))-SUMIFS(tblMov[Egreso],tblMov[Fecha],"&lt;="&amp;D19,tblMov[Fecha],"&gt;="&amp;DATE(Anio,Mes,1)))</f>
        <v>9260</v>
      </c>
      <c r="H19" s="14"/>
    </row>
    <row r="20" spans="1:14" ht="15.95" customHeight="1" x14ac:dyDescent="0.25">
      <c r="A20" s="14"/>
      <c r="B20" s="14"/>
      <c r="C20" s="14"/>
      <c r="D20" s="55">
        <f>IF(MONTH(DATE(Anio,Mes,ROW()-11))=Mes,DATE(Anio,Mes,ROW()-11),"")</f>
        <v>46335</v>
      </c>
      <c r="E20" s="56">
        <f>IF(D20="","",SUMIFS(tblMov[Ingreso],tblMov[Fecha],D20))</f>
        <v>0</v>
      </c>
      <c r="F20" s="56">
        <f>IF(D20="","",SUMIFS(tblMov[Egreso],tblMov[Fecha],D20))</f>
        <v>0</v>
      </c>
      <c r="G20" s="56">
        <f>IF(D20="","",SaldoInicial+SUMIFS(tblMov[Ingreso],tblMov[Fecha],"&lt;="&amp;D20,tblMov[Fecha],"&gt;="&amp;DATE(Anio,Mes,1))-SUMIFS(tblMov[Egreso],tblMov[Fecha],"&lt;="&amp;D20,tblMov[Fecha],"&gt;="&amp;DATE(Anio,Mes,1)))</f>
        <v>9260</v>
      </c>
      <c r="H20" s="14"/>
    </row>
    <row r="21" spans="1:14" ht="15.95" customHeight="1" x14ac:dyDescent="0.25">
      <c r="A21" s="14"/>
      <c r="B21" s="14"/>
      <c r="C21" s="14"/>
      <c r="D21" s="57">
        <f>IF(MONTH(DATE(Anio,Mes,ROW()-11))=Mes,DATE(Anio,Mes,ROW()-11),"")</f>
        <v>46336</v>
      </c>
      <c r="E21" s="58">
        <f>IF(D21="","",SUMIFS(tblMov[Ingreso],tblMov[Fecha],D21))</f>
        <v>0</v>
      </c>
      <c r="F21" s="58">
        <f>IF(D21="","",SUMIFS(tblMov[Egreso],tblMov[Fecha],D21))</f>
        <v>0</v>
      </c>
      <c r="G21" s="58">
        <f>IF(D21="","",SaldoInicial+SUMIFS(tblMov[Ingreso],tblMov[Fecha],"&lt;="&amp;D21,tblMov[Fecha],"&gt;="&amp;DATE(Anio,Mes,1))-SUMIFS(tblMov[Egreso],tblMov[Fecha],"&lt;="&amp;D21,tblMov[Fecha],"&gt;="&amp;DATE(Anio,Mes,1)))</f>
        <v>9260</v>
      </c>
      <c r="H21" s="14"/>
    </row>
    <row r="22" spans="1:14" ht="15.95" customHeight="1" x14ac:dyDescent="0.25">
      <c r="A22" s="14"/>
      <c r="B22" s="14"/>
      <c r="C22" s="14"/>
      <c r="D22" s="55">
        <f>IF(MONTH(DATE(Anio,Mes,ROW()-11))=Mes,DATE(Anio,Mes,ROW()-11),"")</f>
        <v>46337</v>
      </c>
      <c r="E22" s="56">
        <f>IF(D22="","",SUMIFS(tblMov[Ingreso],tblMov[Fecha],D22))</f>
        <v>0</v>
      </c>
      <c r="F22" s="56">
        <f>IF(D22="","",SUMIFS(tblMov[Egreso],tblMov[Fecha],D22))</f>
        <v>0</v>
      </c>
      <c r="G22" s="56">
        <f>IF(D22="","",SaldoInicial+SUMIFS(tblMov[Ingreso],tblMov[Fecha],"&lt;="&amp;D22,tblMov[Fecha],"&gt;="&amp;DATE(Anio,Mes,1))-SUMIFS(tblMov[Egreso],tblMov[Fecha],"&lt;="&amp;D22,tblMov[Fecha],"&gt;="&amp;DATE(Anio,Mes,1)))</f>
        <v>9260</v>
      </c>
      <c r="H22" s="14"/>
    </row>
    <row r="23" spans="1:14" ht="15.95" customHeight="1" x14ac:dyDescent="0.25">
      <c r="A23" s="14"/>
      <c r="B23" s="14"/>
      <c r="C23" s="14"/>
      <c r="D23" s="57">
        <f>IF(MONTH(DATE(Anio,Mes,ROW()-11))=Mes,DATE(Anio,Mes,ROW()-11),"")</f>
        <v>46338</v>
      </c>
      <c r="E23" s="58">
        <f>IF(D23="","",SUMIFS(tblMov[Ingreso],tblMov[Fecha],D23))</f>
        <v>0</v>
      </c>
      <c r="F23" s="58">
        <f>IF(D23="","",SUMIFS(tblMov[Egreso],tblMov[Fecha],D23))</f>
        <v>0</v>
      </c>
      <c r="G23" s="58">
        <f>IF(D23="","",SaldoInicial+SUMIFS(tblMov[Ingreso],tblMov[Fecha],"&lt;="&amp;D23,tblMov[Fecha],"&gt;="&amp;DATE(Anio,Mes,1))-SUMIFS(tblMov[Egreso],tblMov[Fecha],"&lt;="&amp;D23,tblMov[Fecha],"&gt;="&amp;DATE(Anio,Mes,1)))</f>
        <v>9260</v>
      </c>
      <c r="H23" s="14"/>
      <c r="I23" s="14"/>
      <c r="J23" s="14"/>
      <c r="K23" s="14"/>
      <c r="L23" s="14"/>
      <c r="M23" s="14"/>
      <c r="N23" s="14"/>
    </row>
    <row r="24" spans="1:14" ht="15.95" customHeight="1" x14ac:dyDescent="0.25">
      <c r="A24" s="14"/>
      <c r="B24" s="14"/>
      <c r="C24" s="14"/>
      <c r="D24" s="55">
        <f>IF(MONTH(DATE(Anio,Mes,ROW()-11))=Mes,DATE(Anio,Mes,ROW()-11),"")</f>
        <v>46339</v>
      </c>
      <c r="E24" s="56">
        <f>IF(D24="","",SUMIFS(tblMov[Ingreso],tblMov[Fecha],D24))</f>
        <v>0</v>
      </c>
      <c r="F24" s="56">
        <f>IF(D24="","",SUMIFS(tblMov[Egreso],tblMov[Fecha],D24))</f>
        <v>0</v>
      </c>
      <c r="G24" s="56">
        <f>IF(D24="","",SaldoInicial+SUMIFS(tblMov[Ingreso],tblMov[Fecha],"&lt;="&amp;D24,tblMov[Fecha],"&gt;="&amp;DATE(Anio,Mes,1))-SUMIFS(tblMov[Egreso],tblMov[Fecha],"&lt;="&amp;D24,tblMov[Fecha],"&gt;="&amp;DATE(Anio,Mes,1)))</f>
        <v>9260</v>
      </c>
      <c r="H24" s="14"/>
      <c r="I24" s="14"/>
      <c r="J24" s="14"/>
      <c r="K24" s="14"/>
      <c r="L24" s="14"/>
      <c r="M24" s="14"/>
      <c r="N24" s="14"/>
    </row>
    <row r="25" spans="1:14" ht="15.95" customHeight="1" x14ac:dyDescent="0.25">
      <c r="A25" s="14"/>
      <c r="B25" s="14"/>
      <c r="C25" s="14"/>
      <c r="D25" s="57">
        <f>IF(MONTH(DATE(Anio,Mes,ROW()-11))=Mes,DATE(Anio,Mes,ROW()-11),"")</f>
        <v>46340</v>
      </c>
      <c r="E25" s="58">
        <f>IF(D25="","",SUMIFS(tblMov[Ingreso],tblMov[Fecha],D25))</f>
        <v>0</v>
      </c>
      <c r="F25" s="58">
        <f>IF(D25="","",SUMIFS(tblMov[Egreso],tblMov[Fecha],D25))</f>
        <v>0</v>
      </c>
      <c r="G25" s="58">
        <f>IF(D25="","",SaldoInicial+SUMIFS(tblMov[Ingreso],tblMov[Fecha],"&lt;="&amp;D25,tblMov[Fecha],"&gt;="&amp;DATE(Anio,Mes,1))-SUMIFS(tblMov[Egreso],tblMov[Fecha],"&lt;="&amp;D25,tblMov[Fecha],"&gt;="&amp;DATE(Anio,Mes,1)))</f>
        <v>9260</v>
      </c>
      <c r="H25" s="14"/>
      <c r="I25" s="14"/>
      <c r="J25" s="14"/>
      <c r="K25" s="14"/>
      <c r="L25" s="14"/>
      <c r="M25" s="14"/>
      <c r="N25" s="14"/>
    </row>
    <row r="26" spans="1:14" ht="15.95" customHeight="1" x14ac:dyDescent="0.25">
      <c r="A26" s="14"/>
      <c r="B26" s="14"/>
      <c r="C26" s="14"/>
      <c r="D26" s="55">
        <f>IF(MONTH(DATE(Anio,Mes,ROW()-11))=Mes,DATE(Anio,Mes,ROW()-11),"")</f>
        <v>46341</v>
      </c>
      <c r="E26" s="56">
        <f>IF(D26="","",SUMIFS(tblMov[Ingreso],tblMov[Fecha],D26))</f>
        <v>0</v>
      </c>
      <c r="F26" s="56">
        <f>IF(D26="","",SUMIFS(tblMov[Egreso],tblMov[Fecha],D26))</f>
        <v>0</v>
      </c>
      <c r="G26" s="56">
        <f>IF(D26="","",SaldoInicial+SUMIFS(tblMov[Ingreso],tblMov[Fecha],"&lt;="&amp;D26,tblMov[Fecha],"&gt;="&amp;DATE(Anio,Mes,1))-SUMIFS(tblMov[Egreso],tblMov[Fecha],"&lt;="&amp;D26,tblMov[Fecha],"&gt;="&amp;DATE(Anio,Mes,1)))</f>
        <v>9260</v>
      </c>
      <c r="H26" s="14"/>
      <c r="I26" s="14"/>
      <c r="J26" s="14"/>
      <c r="K26" s="14"/>
      <c r="L26" s="14"/>
      <c r="M26" s="14"/>
      <c r="N26" s="14"/>
    </row>
    <row r="27" spans="1:14" ht="15.95" customHeight="1" x14ac:dyDescent="0.25">
      <c r="A27" s="14"/>
      <c r="B27" s="14"/>
      <c r="C27" s="14"/>
      <c r="D27" s="57">
        <f>IF(MONTH(DATE(Anio,Mes,ROW()-11))=Mes,DATE(Anio,Mes,ROW()-11),"")</f>
        <v>46342</v>
      </c>
      <c r="E27" s="58">
        <f>IF(D27="","",SUMIFS(tblMov[Ingreso],tblMov[Fecha],D27))</f>
        <v>0</v>
      </c>
      <c r="F27" s="58">
        <f>IF(D27="","",SUMIFS(tblMov[Egreso],tblMov[Fecha],D27))</f>
        <v>0</v>
      </c>
      <c r="G27" s="58">
        <f>IF(D27="","",SaldoInicial+SUMIFS(tblMov[Ingreso],tblMov[Fecha],"&lt;="&amp;D27,tblMov[Fecha],"&gt;="&amp;DATE(Anio,Mes,1))-SUMIFS(tblMov[Egreso],tblMov[Fecha],"&lt;="&amp;D27,tblMov[Fecha],"&gt;="&amp;DATE(Anio,Mes,1)))</f>
        <v>9260</v>
      </c>
      <c r="H27" s="14"/>
      <c r="I27" s="14"/>
      <c r="J27" s="14"/>
      <c r="K27" s="14"/>
      <c r="L27" s="14"/>
      <c r="M27" s="14"/>
      <c r="N27" s="14"/>
    </row>
    <row r="28" spans="1:14" ht="15.95" customHeight="1" x14ac:dyDescent="0.25">
      <c r="A28" s="14"/>
      <c r="B28" s="14"/>
      <c r="C28" s="14"/>
      <c r="D28" s="55">
        <f>IF(MONTH(DATE(Anio,Mes,ROW()-11))=Mes,DATE(Anio,Mes,ROW()-11),"")</f>
        <v>46343</v>
      </c>
      <c r="E28" s="56">
        <f>IF(D28="","",SUMIFS(tblMov[Ingreso],tblMov[Fecha],D28))</f>
        <v>0</v>
      </c>
      <c r="F28" s="56">
        <f>IF(D28="","",SUMIFS(tblMov[Egreso],tblMov[Fecha],D28))</f>
        <v>0</v>
      </c>
      <c r="G28" s="56">
        <f>IF(D28="","",SaldoInicial+SUMIFS(tblMov[Ingreso],tblMov[Fecha],"&lt;="&amp;D28,tblMov[Fecha],"&gt;="&amp;DATE(Anio,Mes,1))-SUMIFS(tblMov[Egreso],tblMov[Fecha],"&lt;="&amp;D28,tblMov[Fecha],"&gt;="&amp;DATE(Anio,Mes,1)))</f>
        <v>9260</v>
      </c>
      <c r="H28" s="14"/>
      <c r="I28" s="14"/>
      <c r="J28" s="14"/>
      <c r="K28" s="14"/>
      <c r="L28" s="14"/>
      <c r="M28" s="14"/>
      <c r="N28" s="14"/>
    </row>
    <row r="29" spans="1:14" ht="15.95" customHeight="1" x14ac:dyDescent="0.25">
      <c r="A29" s="14"/>
      <c r="B29" s="14"/>
      <c r="C29" s="14"/>
      <c r="D29" s="57">
        <f>IF(MONTH(DATE(Anio,Mes,ROW()-11))=Mes,DATE(Anio,Mes,ROW()-11),"")</f>
        <v>46344</v>
      </c>
      <c r="E29" s="58">
        <f>IF(D29="","",SUMIFS(tblMov[Ingreso],tblMov[Fecha],D29))</f>
        <v>0</v>
      </c>
      <c r="F29" s="58">
        <f>IF(D29="","",SUMIFS(tblMov[Egreso],tblMov[Fecha],D29))</f>
        <v>0</v>
      </c>
      <c r="G29" s="58">
        <f>IF(D29="","",SaldoInicial+SUMIFS(tblMov[Ingreso],tblMov[Fecha],"&lt;="&amp;D29,tblMov[Fecha],"&gt;="&amp;DATE(Anio,Mes,1))-SUMIFS(tblMov[Egreso],tblMov[Fecha],"&lt;="&amp;D29,tblMov[Fecha],"&gt;="&amp;DATE(Anio,Mes,1)))</f>
        <v>9260</v>
      </c>
      <c r="H29" s="14"/>
      <c r="I29" s="14"/>
      <c r="J29" s="14"/>
      <c r="K29" s="14"/>
      <c r="L29" s="14"/>
      <c r="M29" s="14"/>
      <c r="N29" s="14"/>
    </row>
    <row r="30" spans="1:14" ht="15.95" customHeight="1" x14ac:dyDescent="0.25">
      <c r="A30" s="14"/>
      <c r="B30" s="14"/>
      <c r="C30" s="14"/>
      <c r="D30" s="55">
        <f>IF(MONTH(DATE(Anio,Mes,ROW()-11))=Mes,DATE(Anio,Mes,ROW()-11),"")</f>
        <v>46345</v>
      </c>
      <c r="E30" s="56">
        <f>IF(D30="","",SUMIFS(tblMov[Ingreso],tblMov[Fecha],D30))</f>
        <v>0</v>
      </c>
      <c r="F30" s="56">
        <f>IF(D30="","",SUMIFS(tblMov[Egreso],tblMov[Fecha],D30))</f>
        <v>0</v>
      </c>
      <c r="G30" s="56">
        <f>IF(D30="","",SaldoInicial+SUMIFS(tblMov[Ingreso],tblMov[Fecha],"&lt;="&amp;D30,tblMov[Fecha],"&gt;="&amp;DATE(Anio,Mes,1))-SUMIFS(tblMov[Egreso],tblMov[Fecha],"&lt;="&amp;D30,tblMov[Fecha],"&gt;="&amp;DATE(Anio,Mes,1)))</f>
        <v>9260</v>
      </c>
      <c r="H30" s="14"/>
      <c r="I30" s="14"/>
      <c r="J30" s="14"/>
      <c r="K30" s="14"/>
      <c r="L30" s="14"/>
      <c r="M30" s="14"/>
      <c r="N30" s="14"/>
    </row>
    <row r="31" spans="1:14" ht="15.95" customHeight="1" x14ac:dyDescent="0.25">
      <c r="A31" s="14"/>
      <c r="B31" s="14"/>
      <c r="C31" s="14"/>
      <c r="D31" s="57">
        <f>IF(MONTH(DATE(Anio,Mes,ROW()-11))=Mes,DATE(Anio,Mes,ROW()-11),"")</f>
        <v>46346</v>
      </c>
      <c r="E31" s="58">
        <f>IF(D31="","",SUMIFS(tblMov[Ingreso],tblMov[Fecha],D31))</f>
        <v>0</v>
      </c>
      <c r="F31" s="58">
        <f>IF(D31="","",SUMIFS(tblMov[Egreso],tblMov[Fecha],D31))</f>
        <v>0</v>
      </c>
      <c r="G31" s="58">
        <f>IF(D31="","",SaldoInicial+SUMIFS(tblMov[Ingreso],tblMov[Fecha],"&lt;="&amp;D31,tblMov[Fecha],"&gt;="&amp;DATE(Anio,Mes,1))-SUMIFS(tblMov[Egreso],tblMov[Fecha],"&lt;="&amp;D31,tblMov[Fecha],"&gt;="&amp;DATE(Anio,Mes,1)))</f>
        <v>9260</v>
      </c>
      <c r="H31" s="14"/>
      <c r="I31" s="14"/>
      <c r="J31" s="14"/>
      <c r="K31" s="14"/>
      <c r="L31" s="14"/>
      <c r="M31" s="14"/>
      <c r="N31" s="14"/>
    </row>
    <row r="32" spans="1:14" ht="15.95" customHeight="1" x14ac:dyDescent="0.25">
      <c r="A32" s="14"/>
      <c r="B32" s="14"/>
      <c r="C32" s="14"/>
      <c r="D32" s="55">
        <f>IF(MONTH(DATE(Anio,Mes,ROW()-11))=Mes,DATE(Anio,Mes,ROW()-11),"")</f>
        <v>46347</v>
      </c>
      <c r="E32" s="56">
        <f>IF(D32="","",SUMIFS(tblMov[Ingreso],tblMov[Fecha],D32))</f>
        <v>0</v>
      </c>
      <c r="F32" s="56">
        <f>IF(D32="","",SUMIFS(tblMov[Egreso],tblMov[Fecha],D32))</f>
        <v>0</v>
      </c>
      <c r="G32" s="56">
        <f>IF(D32="","",SaldoInicial+SUMIFS(tblMov[Ingreso],tblMov[Fecha],"&lt;="&amp;D32,tblMov[Fecha],"&gt;="&amp;DATE(Anio,Mes,1))-SUMIFS(tblMov[Egreso],tblMov[Fecha],"&lt;="&amp;D32,tblMov[Fecha],"&gt;="&amp;DATE(Anio,Mes,1)))</f>
        <v>9260</v>
      </c>
      <c r="H32" s="14"/>
      <c r="I32" s="14"/>
      <c r="J32" s="14"/>
      <c r="K32" s="14"/>
      <c r="L32" s="14"/>
      <c r="M32" s="14"/>
      <c r="N32" s="14"/>
    </row>
    <row r="33" spans="1:14" ht="15.95" customHeight="1" x14ac:dyDescent="0.25">
      <c r="A33" s="14"/>
      <c r="B33" s="14"/>
      <c r="C33" s="14"/>
      <c r="D33" s="57">
        <f>IF(MONTH(DATE(Anio,Mes,ROW()-11))=Mes,DATE(Anio,Mes,ROW()-11),"")</f>
        <v>46348</v>
      </c>
      <c r="E33" s="58">
        <f>IF(D33="","",SUMIFS(tblMov[Ingreso],tblMov[Fecha],D33))</f>
        <v>0</v>
      </c>
      <c r="F33" s="58">
        <f>IF(D33="","",SUMIFS(tblMov[Egreso],tblMov[Fecha],D33))</f>
        <v>0</v>
      </c>
      <c r="G33" s="58">
        <f>IF(D33="","",SaldoInicial+SUMIFS(tblMov[Ingreso],tblMov[Fecha],"&lt;="&amp;D33,tblMov[Fecha],"&gt;="&amp;DATE(Anio,Mes,1))-SUMIFS(tblMov[Egreso],tblMov[Fecha],"&lt;="&amp;D33,tblMov[Fecha],"&gt;="&amp;DATE(Anio,Mes,1)))</f>
        <v>9260</v>
      </c>
      <c r="H33" s="14"/>
      <c r="I33" s="14"/>
      <c r="J33" s="14"/>
      <c r="K33" s="14"/>
      <c r="L33" s="14"/>
      <c r="M33" s="14"/>
      <c r="N33" s="14"/>
    </row>
    <row r="34" spans="1:14" ht="15.95" customHeight="1" x14ac:dyDescent="0.25">
      <c r="A34" s="14"/>
      <c r="B34" s="14"/>
      <c r="C34" s="14"/>
      <c r="D34" s="55">
        <f>IF(MONTH(DATE(Anio,Mes,ROW()-11))=Mes,DATE(Anio,Mes,ROW()-11),"")</f>
        <v>46349</v>
      </c>
      <c r="E34" s="56">
        <f>IF(D34="","",SUMIFS(tblMov[Ingreso],tblMov[Fecha],D34))</f>
        <v>0</v>
      </c>
      <c r="F34" s="56">
        <f>IF(D34="","",SUMIFS(tblMov[Egreso],tblMov[Fecha],D34))</f>
        <v>0</v>
      </c>
      <c r="G34" s="56">
        <f>IF(D34="","",SaldoInicial+SUMIFS(tblMov[Ingreso],tblMov[Fecha],"&lt;="&amp;D34,tblMov[Fecha],"&gt;="&amp;DATE(Anio,Mes,1))-SUMIFS(tblMov[Egreso],tblMov[Fecha],"&lt;="&amp;D34,tblMov[Fecha],"&gt;="&amp;DATE(Anio,Mes,1)))</f>
        <v>9260</v>
      </c>
      <c r="H34" s="14"/>
      <c r="I34" s="14"/>
      <c r="J34" s="14"/>
      <c r="K34" s="14"/>
      <c r="L34" s="14"/>
      <c r="M34" s="14"/>
      <c r="N34" s="14"/>
    </row>
    <row r="35" spans="1:14" ht="15.95" customHeight="1" x14ac:dyDescent="0.25">
      <c r="A35" s="14"/>
      <c r="B35" s="14"/>
      <c r="C35" s="14"/>
      <c r="D35" s="57">
        <f>IF(MONTH(DATE(Anio,Mes,ROW()-11))=Mes,DATE(Anio,Mes,ROW()-11),"")</f>
        <v>46350</v>
      </c>
      <c r="E35" s="58">
        <f>IF(D35="","",SUMIFS(tblMov[Ingreso],tblMov[Fecha],D35))</f>
        <v>0</v>
      </c>
      <c r="F35" s="58">
        <f>IF(D35="","",SUMIFS(tblMov[Egreso],tblMov[Fecha],D35))</f>
        <v>0</v>
      </c>
      <c r="G35" s="58">
        <f>IF(D35="","",SaldoInicial+SUMIFS(tblMov[Ingreso],tblMov[Fecha],"&lt;="&amp;D35,tblMov[Fecha],"&gt;="&amp;DATE(Anio,Mes,1))-SUMIFS(tblMov[Egreso],tblMov[Fecha],"&lt;="&amp;D35,tblMov[Fecha],"&gt;="&amp;DATE(Anio,Mes,1)))</f>
        <v>9260</v>
      </c>
      <c r="H35" s="14"/>
      <c r="I35" s="14"/>
      <c r="J35" s="14"/>
      <c r="K35" s="14"/>
      <c r="L35" s="14"/>
      <c r="M35" s="14"/>
      <c r="N35" s="14"/>
    </row>
    <row r="36" spans="1:14" ht="15.95" customHeight="1" x14ac:dyDescent="0.25">
      <c r="A36" s="14"/>
      <c r="B36" s="14"/>
      <c r="C36" s="14"/>
      <c r="D36" s="55">
        <f>IF(MONTH(DATE(Anio,Mes,ROW()-11))=Mes,DATE(Anio,Mes,ROW()-11),"")</f>
        <v>46351</v>
      </c>
      <c r="E36" s="56">
        <f>IF(D36="","",SUMIFS(tblMov[Ingreso],tblMov[Fecha],D36))</f>
        <v>0</v>
      </c>
      <c r="F36" s="56">
        <f>IF(D36="","",SUMIFS(tblMov[Egreso],tblMov[Fecha],D36))</f>
        <v>0</v>
      </c>
      <c r="G36" s="56">
        <f>IF(D36="","",SaldoInicial+SUMIFS(tblMov[Ingreso],tblMov[Fecha],"&lt;="&amp;D36,tblMov[Fecha],"&gt;="&amp;DATE(Anio,Mes,1))-SUMIFS(tblMov[Egreso],tblMov[Fecha],"&lt;="&amp;D36,tblMov[Fecha],"&gt;="&amp;DATE(Anio,Mes,1)))</f>
        <v>9260</v>
      </c>
      <c r="H36" s="14"/>
      <c r="I36" s="14"/>
      <c r="J36" s="14"/>
      <c r="K36" s="14"/>
      <c r="L36" s="14"/>
      <c r="M36" s="14"/>
      <c r="N36" s="14"/>
    </row>
    <row r="37" spans="1:14" ht="15.95" customHeight="1" x14ac:dyDescent="0.25">
      <c r="A37" s="14"/>
      <c r="B37" s="14"/>
      <c r="C37" s="14"/>
      <c r="D37" s="57">
        <f>IF(MONTH(DATE(Anio,Mes,ROW()-11))=Mes,DATE(Anio,Mes,ROW()-11),"")</f>
        <v>46352</v>
      </c>
      <c r="E37" s="58">
        <f>IF(D37="","",SUMIFS(tblMov[Ingreso],tblMov[Fecha],D37))</f>
        <v>0</v>
      </c>
      <c r="F37" s="58">
        <f>IF(D37="","",SUMIFS(tblMov[Egreso],tblMov[Fecha],D37))</f>
        <v>0</v>
      </c>
      <c r="G37" s="58">
        <f>IF(D37="","",SaldoInicial+SUMIFS(tblMov[Ingreso],tblMov[Fecha],"&lt;="&amp;D37,tblMov[Fecha],"&gt;="&amp;DATE(Anio,Mes,1))-SUMIFS(tblMov[Egreso],tblMov[Fecha],"&lt;="&amp;D37,tblMov[Fecha],"&gt;="&amp;DATE(Anio,Mes,1)))</f>
        <v>9260</v>
      </c>
      <c r="H37" s="14"/>
      <c r="I37" s="14"/>
      <c r="J37" s="14"/>
      <c r="K37" s="14"/>
      <c r="L37" s="14"/>
      <c r="M37" s="14"/>
      <c r="N37" s="14"/>
    </row>
    <row r="38" spans="1:14" ht="15.95" customHeight="1" x14ac:dyDescent="0.25">
      <c r="A38" s="14"/>
      <c r="B38" s="14"/>
      <c r="C38" s="14"/>
      <c r="D38" s="55">
        <f>IF(MONTH(DATE(Anio,Mes,ROW()-11))=Mes,DATE(Anio,Mes,ROW()-11),"")</f>
        <v>46353</v>
      </c>
      <c r="E38" s="56">
        <f>IF(D38="","",SUMIFS(tblMov[Ingreso],tblMov[Fecha],D38))</f>
        <v>0</v>
      </c>
      <c r="F38" s="56">
        <f>IF(D38="","",SUMIFS(tblMov[Egreso],tblMov[Fecha],D38))</f>
        <v>0</v>
      </c>
      <c r="G38" s="56">
        <f>IF(D38="","",SaldoInicial+SUMIFS(tblMov[Ingreso],tblMov[Fecha],"&lt;="&amp;D38,tblMov[Fecha],"&gt;="&amp;DATE(Anio,Mes,1))-SUMIFS(tblMov[Egreso],tblMov[Fecha],"&lt;="&amp;D38,tblMov[Fecha],"&gt;="&amp;DATE(Anio,Mes,1)))</f>
        <v>9260</v>
      </c>
      <c r="H38" s="14"/>
      <c r="I38" s="14"/>
      <c r="J38" s="14"/>
      <c r="K38" s="14"/>
      <c r="L38" s="14"/>
      <c r="M38" s="14"/>
      <c r="N38" s="14"/>
    </row>
    <row r="39" spans="1:14" ht="15.95" customHeight="1" x14ac:dyDescent="0.25">
      <c r="A39" s="14"/>
      <c r="B39" s="14"/>
      <c r="C39" s="14"/>
      <c r="D39" s="57">
        <f>IF(MONTH(DATE(Anio,Mes,ROW()-11))=Mes,DATE(Anio,Mes,ROW()-11),"")</f>
        <v>46354</v>
      </c>
      <c r="E39" s="58">
        <f>IF(D39="","",SUMIFS(tblMov[Ingreso],tblMov[Fecha],D39))</f>
        <v>0</v>
      </c>
      <c r="F39" s="58">
        <f>IF(D39="","",SUMIFS(tblMov[Egreso],tblMov[Fecha],D39))</f>
        <v>0</v>
      </c>
      <c r="G39" s="58">
        <f>IF(D39="","",SaldoInicial+SUMIFS(tblMov[Ingreso],tblMov[Fecha],"&lt;="&amp;D39,tblMov[Fecha],"&gt;="&amp;DATE(Anio,Mes,1))-SUMIFS(tblMov[Egreso],tblMov[Fecha],"&lt;="&amp;D39,tblMov[Fecha],"&gt;="&amp;DATE(Anio,Mes,1)))</f>
        <v>9260</v>
      </c>
      <c r="H39" s="14"/>
      <c r="I39" s="14"/>
      <c r="J39" s="14"/>
      <c r="K39" s="14"/>
      <c r="L39" s="14"/>
      <c r="M39" s="14"/>
      <c r="N39" s="14"/>
    </row>
    <row r="40" spans="1:14" x14ac:dyDescent="0.25">
      <c r="A40" s="14"/>
      <c r="B40" s="14"/>
      <c r="C40" s="14"/>
      <c r="D40" s="53">
        <f>IF(MONTH(DATE(Anio,Mes,ROW()-11))=Mes,DATE(Anio,Mes,ROW()-11),"")</f>
        <v>46355</v>
      </c>
      <c r="E40" s="54">
        <f>IF(D40="","",SUMIFS(tblMov[Ingreso],tblMov[Fecha],D40))</f>
        <v>0</v>
      </c>
      <c r="F40" s="54">
        <f>IF(D40="","",SUMIFS(tblMov[Egreso],tblMov[Fecha],D40))</f>
        <v>0</v>
      </c>
      <c r="G40" s="54">
        <f>IF(D40="","",SaldoInicial+SUMIFS(tblMov[Ingreso],tblMov[Fecha],"&lt;="&amp;D40,tblMov[Fecha],"&gt;="&amp;DATE(Anio,Mes,1))-SUMIFS(tblMov[Egreso],tblMov[Fecha],"&lt;="&amp;D40,tblMov[Fecha],"&gt;="&amp;DATE(Anio,Mes,1)))</f>
        <v>9260</v>
      </c>
      <c r="H40" s="14"/>
      <c r="I40" s="14"/>
      <c r="J40" s="14"/>
      <c r="K40" s="14"/>
      <c r="L40" s="14"/>
      <c r="M40" s="14"/>
      <c r="N40" s="14"/>
    </row>
    <row r="41" spans="1:14" x14ac:dyDescent="0.25">
      <c r="A41" s="14"/>
      <c r="B41" s="14"/>
      <c r="C41" s="14"/>
      <c r="D41" s="59">
        <f>IF(MONTH(DATE(Anio,Mes,ROW()-11))=Mes,DATE(Anio,Mes,ROW()-11),"")</f>
        <v>46356</v>
      </c>
      <c r="E41" s="60">
        <f>IF(D41="","",SUMIFS(tblMov[Ingreso],tblMov[Fecha],D41))</f>
        <v>0</v>
      </c>
      <c r="F41" s="60">
        <f>IF(D41="","",SUMIFS(tblMov[Egreso],tblMov[Fecha],D41))</f>
        <v>0</v>
      </c>
      <c r="G41" s="60">
        <f>IF(D41="","",SaldoInicial+SUMIFS(tblMov[Ingreso],tblMov[Fecha],"&lt;="&amp;D41,tblMov[Fecha],"&gt;="&amp;DATE(Anio,Mes,1))-SUMIFS(tblMov[Egreso],tblMov[Fecha],"&lt;="&amp;D41,tblMov[Fecha],"&gt;="&amp;DATE(Anio,Mes,1)))</f>
        <v>9260</v>
      </c>
      <c r="H41" s="14"/>
      <c r="I41" s="14"/>
      <c r="J41" s="14"/>
      <c r="K41" s="14"/>
      <c r="L41" s="14"/>
      <c r="M41" s="14"/>
      <c r="N41" s="14"/>
    </row>
    <row r="42" spans="1:14" x14ac:dyDescent="0.25">
      <c r="A42" s="14"/>
      <c r="B42" s="14"/>
      <c r="C42" s="14"/>
      <c r="D42" s="53" t="str">
        <f>IF(MONTH(DATE(Anio,Mes,ROW()-11))=Mes,DATE(Anio,Mes,ROW()-11),"")</f>
        <v/>
      </c>
      <c r="E42" s="54" t="str">
        <f>IF(D42="","",SUMIFS(tblMov[Ingreso],tblMov[Fecha],D42))</f>
        <v/>
      </c>
      <c r="F42" s="54" t="str">
        <f>IF(D42="","",SUMIFS(tblMov[Egreso],tblMov[Fecha],D42))</f>
        <v/>
      </c>
      <c r="G42" s="54" t="str">
        <f>IF(D42="","",SaldoInicial+SUMIFS(tblMov[Ingreso],tblMov[Fecha],"&lt;="&amp;D42,tblMov[Fecha],"&gt;="&amp;DATE(Anio,Mes,1))-SUMIFS(tblMov[Egreso],tblMov[Fecha],"&lt;="&amp;D42,tblMov[Fecha],"&gt;="&amp;DATE(Anio,Mes,1)))</f>
        <v/>
      </c>
      <c r="H42" s="14"/>
      <c r="I42" s="14"/>
      <c r="J42" s="14"/>
      <c r="K42" s="14"/>
      <c r="L42" s="14"/>
      <c r="M42" s="14"/>
      <c r="N42" s="14"/>
    </row>
    <row r="43" spans="1:14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</sheetData>
  <dataValidations count="2">
    <dataValidation type="whole" allowBlank="1" showInputMessage="1" showErrorMessage="1" errorTitle="Mes inválido" error="Ingrese un mes entre 1 y 12" promptTitle="Mes" prompt="1 = enero · 12 = diciembre" sqref="E6" xr:uid="{AFB72134-13DB-459A-982A-E8EA6492C29D}">
      <formula1>1</formula1>
      <formula2>12</formula2>
    </dataValidation>
    <dataValidation type="whole" allowBlank="1" showInputMessage="1" showErrorMessage="1" errorTitle="Año inválido" error="Ingrese un año válido" sqref="F6" xr:uid="{42156E93-AE0F-45D4-BDAD-4A7951CAC389}">
      <formula1>2000</formula1>
      <formula2>2100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1FD0-4E3C-4BA0-8DEE-48E27141833A}">
  <dimension ref="A1:N19"/>
  <sheetViews>
    <sheetView showGridLines="0" showRowColHeaders="0" workbookViewId="0">
      <selection activeCell="E11" sqref="E11"/>
    </sheetView>
  </sheetViews>
  <sheetFormatPr baseColWidth="10" defaultRowHeight="15" x14ac:dyDescent="0.25"/>
  <cols>
    <col min="1" max="1" width="2.28515625" customWidth="1"/>
    <col min="2" max="2" width="17.140625" customWidth="1"/>
    <col min="3" max="3" width="1.140625" customWidth="1"/>
    <col min="4" max="4" width="45.7109375" customWidth="1"/>
    <col min="5" max="6" width="21" customWidth="1"/>
    <col min="7" max="7" width="24.7109375" customWidth="1"/>
    <col min="8" max="8" width="2.7109375" customWidth="1"/>
    <col min="9" max="9" width="21" customWidth="1"/>
    <col min="10" max="11" width="24.7109375" customWidth="1"/>
    <col min="12" max="12" width="2.7109375" customWidth="1"/>
    <col min="13" max="14" width="0" hidden="1" customWidth="1"/>
  </cols>
  <sheetData>
    <row r="1" spans="1:14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" customHeight="1" x14ac:dyDescent="0.25">
      <c r="A2" s="2"/>
      <c r="B2" s="2"/>
      <c r="C2" s="2"/>
      <c r="D2" s="61" t="s">
        <v>61</v>
      </c>
      <c r="E2" s="2"/>
      <c r="F2" s="2"/>
      <c r="G2" s="2"/>
      <c r="H2" s="2"/>
      <c r="I2" s="2"/>
      <c r="J2" s="2"/>
      <c r="K2" s="2"/>
      <c r="L2" s="2"/>
      <c r="M2" s="64" t="s">
        <v>42</v>
      </c>
      <c r="N2" s="63"/>
    </row>
    <row r="3" spans="1:14" ht="21.95" customHeight="1" x14ac:dyDescent="0.25">
      <c r="A3" s="2"/>
      <c r="B3" s="2"/>
      <c r="C3" s="2"/>
      <c r="D3" s="62" t="s">
        <v>62</v>
      </c>
      <c r="E3" s="2"/>
      <c r="F3" s="2"/>
      <c r="G3" s="2"/>
      <c r="H3" s="2"/>
      <c r="I3" s="2"/>
      <c r="J3" s="2"/>
      <c r="K3" s="2"/>
      <c r="L3" s="2"/>
      <c r="M3" s="65" t="s">
        <v>63</v>
      </c>
      <c r="N3" s="63"/>
    </row>
    <row r="4" spans="1:14" ht="3.9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4" ht="21.95" customHeight="1" x14ac:dyDescent="0.25">
      <c r="D6" s="66" t="s">
        <v>64</v>
      </c>
      <c r="E6" s="63"/>
      <c r="F6" s="63"/>
      <c r="I6" s="66" t="s">
        <v>65</v>
      </c>
      <c r="J6" s="63"/>
      <c r="K6" s="63"/>
    </row>
    <row r="7" spans="1:14" ht="21.95" customHeight="1" x14ac:dyDescent="0.25">
      <c r="D7" s="52" t="s">
        <v>57</v>
      </c>
      <c r="E7" s="52" t="s">
        <v>34</v>
      </c>
      <c r="F7" s="52" t="s">
        <v>35</v>
      </c>
      <c r="I7" s="52" t="s">
        <v>37</v>
      </c>
      <c r="J7" s="52" t="s">
        <v>30</v>
      </c>
      <c r="K7" s="52" t="s">
        <v>38</v>
      </c>
      <c r="M7" t="s">
        <v>30</v>
      </c>
      <c r="N7" t="s">
        <v>38</v>
      </c>
    </row>
    <row r="8" spans="1:14" x14ac:dyDescent="0.25">
      <c r="D8" s="67" t="str">
        <f>TEXT(DATE(Anio,1,1),"mmm")</f>
        <v>ene</v>
      </c>
      <c r="E8" s="68">
        <f>SUMIFS(tblMov[Ingreso],tblMov[Fecha],"&gt;="&amp;DATE(Anio,1,1),tblMov[Fecha],"&lt;="&amp;EOMONTH(DATE(Anio,1,1),0))</f>
        <v>0</v>
      </c>
      <c r="F8" s="68">
        <f>SUMIFS(tblMov[Egreso],tblMov[Fecha],"&gt;="&amp;DATE(Anio,1,1),tblMov[Fecha],"&lt;="&amp;EOMONTH(DATE(Anio,1,1),0))</f>
        <v>0</v>
      </c>
      <c r="I8" s="67">
        <v>1</v>
      </c>
      <c r="J8" s="71" t="str">
        <f>IF(IFERROR(LARGE($N$8:$N$19,1),-1)&lt;=0,"",IFERROR(INDEX($M$8:$M$19,MATCH(LARGE($N$8:$N$19,1),$N$8:$N$19,0)),""))</f>
        <v>Proveedores</v>
      </c>
      <c r="K8" s="68">
        <f>IFERROR(IF(LARGE($N$8:$N$19,1)&lt;=0,0,ROUND(LARGE($N$8:$N$19,1),2)),0)</f>
        <v>180</v>
      </c>
      <c r="M8" t="str">
        <f>Configuración!F12</f>
        <v>Proveedores</v>
      </c>
      <c r="N8">
        <f>SUMIFS(tblMov[Egreso],tblMov[Categoría],M8,tblMov[Fecha],"&gt;="&amp;DATE(Anio,Mes,1),tblMov[Fecha],"&lt;="&amp;EOMONTH(DATE(Anio,Mes,1),0))-ROW()/1000000</f>
        <v>179.99999199999999</v>
      </c>
    </row>
    <row r="9" spans="1:14" x14ac:dyDescent="0.25">
      <c r="D9" s="69" t="str">
        <f>TEXT(DATE(Anio,2,1),"mmm")</f>
        <v>feb</v>
      </c>
      <c r="E9" s="70">
        <f>SUMIFS(tblMov[Ingreso],tblMov[Fecha],"&gt;="&amp;DATE(Anio,2,1),tblMov[Fecha],"&lt;="&amp;EOMONTH(DATE(Anio,2,1),0))</f>
        <v>0</v>
      </c>
      <c r="F9" s="70">
        <f>SUMIFS(tblMov[Egreso],tblMov[Fecha],"&gt;="&amp;DATE(Anio,2,1),tblMov[Fecha],"&lt;="&amp;EOMONTH(DATE(Anio,2,1),0))</f>
        <v>0</v>
      </c>
      <c r="I9" s="69">
        <v>2</v>
      </c>
      <c r="J9" s="72" t="str">
        <f>IF(IFERROR(LARGE($N$8:$N$19,2),-1)&lt;=0,"",IFERROR(INDEX($M$8:$M$19,MATCH(LARGE($N$8:$N$19,2),$N$8:$N$19,0)),""))</f>
        <v>Transporte y fletes</v>
      </c>
      <c r="K9" s="70">
        <f>IFERROR(IF(LARGE($N$8:$N$19,2)&lt;=0,0,ROUND(LARGE($N$8:$N$19,2),2)),0)</f>
        <v>60</v>
      </c>
      <c r="M9" t="str">
        <f>Configuración!F13</f>
        <v>Transporte y fletes</v>
      </c>
      <c r="N9">
        <f>SUMIFS(tblMov[Egreso],tblMov[Categoría],M9,tblMov[Fecha],"&gt;="&amp;DATE(Anio,Mes,1),tblMov[Fecha],"&lt;="&amp;EOMONTH(DATE(Anio,Mes,1),0))-ROW()/1000000</f>
        <v>59.999991000000001</v>
      </c>
    </row>
    <row r="10" spans="1:14" x14ac:dyDescent="0.25">
      <c r="D10" s="67" t="str">
        <f>TEXT(DATE(Anio,3,1),"mmm")</f>
        <v>mar</v>
      </c>
      <c r="E10" s="68">
        <f>SUMIFS(tblMov[Ingreso],tblMov[Fecha],"&gt;="&amp;DATE(Anio,3,1),tblMov[Fecha],"&lt;="&amp;EOMONTH(DATE(Anio,3,1),0))</f>
        <v>0</v>
      </c>
      <c r="F10" s="68">
        <f>SUMIFS(tblMov[Egreso],tblMov[Fecha],"&gt;="&amp;DATE(Anio,3,1),tblMov[Fecha],"&lt;="&amp;EOMONTH(DATE(Anio,3,1),0))</f>
        <v>0</v>
      </c>
      <c r="I10" s="67">
        <v>3</v>
      </c>
      <c r="J10" s="71" t="str">
        <f>IF(IFERROR(LARGE($N$8:$N$19,3),-1)&lt;=0,"",IFERROR(INDEX($M$8:$M$19,MATCH(LARGE($N$8:$N$19,3),$N$8:$N$19,0)),""))</f>
        <v/>
      </c>
      <c r="K10" s="68">
        <f>IFERROR(IF(LARGE($N$8:$N$19,3)&lt;=0,0,ROUND(LARGE($N$8:$N$19,3),2)),0)</f>
        <v>0</v>
      </c>
      <c r="M10" t="str">
        <f>Configuración!F14</f>
        <v>Arriendo</v>
      </c>
      <c r="N10">
        <f>SUMIFS(tblMov[Egreso],tblMov[Categoría],M10,tblMov[Fecha],"&gt;="&amp;DATE(Anio,Mes,1),tblMov[Fecha],"&lt;="&amp;EOMONTH(DATE(Anio,Mes,1),0))-ROW()/1000000</f>
        <v>-1.0000000000000001E-5</v>
      </c>
    </row>
    <row r="11" spans="1:14" x14ac:dyDescent="0.25">
      <c r="D11" s="69" t="str">
        <f>TEXT(DATE(Anio,4,1),"mmm")</f>
        <v>abr</v>
      </c>
      <c r="E11" s="70">
        <f>SUMIFS(tblMov[Ingreso],tblMov[Fecha],"&gt;="&amp;DATE(Anio,4,1),tblMov[Fecha],"&lt;="&amp;EOMONTH(DATE(Anio,4,1),0))</f>
        <v>0</v>
      </c>
      <c r="F11" s="70">
        <f>SUMIFS(tblMov[Egreso],tblMov[Fecha],"&gt;="&amp;DATE(Anio,4,1),tblMov[Fecha],"&lt;="&amp;EOMONTH(DATE(Anio,4,1),0))</f>
        <v>0</v>
      </c>
      <c r="I11" s="69">
        <v>4</v>
      </c>
      <c r="J11" s="72" t="str">
        <f>IF(IFERROR(LARGE($N$8:$N$19,4),-1)&lt;=0,"",IFERROR(INDEX($M$8:$M$19,MATCH(LARGE($N$8:$N$19,4),$N$8:$N$19,0)),""))</f>
        <v/>
      </c>
      <c r="K11" s="70">
        <f>IFERROR(IF(LARGE($N$8:$N$19,4)&lt;=0,0,ROUND(LARGE($N$8:$N$19,4),2)),0)</f>
        <v>0</v>
      </c>
      <c r="M11" t="str">
        <f>Configuración!F15</f>
        <v>Servicios públicos</v>
      </c>
      <c r="N11">
        <f>SUMIFS(tblMov[Egreso],tblMov[Categoría],M11,tblMov[Fecha],"&gt;="&amp;DATE(Anio,Mes,1),tblMov[Fecha],"&lt;="&amp;EOMONTH(DATE(Anio,Mes,1),0))-ROW()/1000000</f>
        <v>-1.1E-5</v>
      </c>
    </row>
    <row r="12" spans="1:14" x14ac:dyDescent="0.25">
      <c r="D12" s="67" t="str">
        <f>TEXT(DATE(Anio,5,1),"mmm")</f>
        <v>may</v>
      </c>
      <c r="E12" s="68">
        <f>SUMIFS(tblMov[Ingreso],tblMov[Fecha],"&gt;="&amp;DATE(Anio,5,1),tblMov[Fecha],"&lt;="&amp;EOMONTH(DATE(Anio,5,1),0))</f>
        <v>0</v>
      </c>
      <c r="F12" s="68">
        <f>SUMIFS(tblMov[Egreso],tblMov[Fecha],"&gt;="&amp;DATE(Anio,5,1),tblMov[Fecha],"&lt;="&amp;EOMONTH(DATE(Anio,5,1),0))</f>
        <v>0</v>
      </c>
      <c r="I12" s="67">
        <v>5</v>
      </c>
      <c r="J12" s="71" t="str">
        <f>IF(IFERROR(LARGE($N$8:$N$19,5),-1)&lt;=0,"",IFERROR(INDEX($M$8:$M$19,MATCH(LARGE($N$8:$N$19,5),$N$8:$N$19,0)),""))</f>
        <v/>
      </c>
      <c r="K12" s="68">
        <f>IFERROR(IF(LARGE($N$8:$N$19,5)&lt;=0,0,ROUND(LARGE($N$8:$N$19,5),2)),0)</f>
        <v>0</v>
      </c>
      <c r="M12" t="str">
        <f>Configuración!F16</f>
        <v>Internet y telefonía</v>
      </c>
      <c r="N12">
        <f>SUMIFS(tblMov[Egreso],tblMov[Categoría],M12,tblMov[Fecha],"&gt;="&amp;DATE(Anio,Mes,1),tblMov[Fecha],"&lt;="&amp;EOMONTH(DATE(Anio,Mes,1),0))-ROW()/1000000</f>
        <v>-1.2E-5</v>
      </c>
    </row>
    <row r="13" spans="1:14" x14ac:dyDescent="0.25">
      <c r="D13" s="69" t="str">
        <f>TEXT(DATE(Anio,6,1),"mmm")</f>
        <v>jun</v>
      </c>
      <c r="E13" s="70">
        <f>SUMIFS(tblMov[Ingreso],tblMov[Fecha],"&gt;="&amp;DATE(Anio,6,1),tblMov[Fecha],"&lt;="&amp;EOMONTH(DATE(Anio,6,1),0))</f>
        <v>0</v>
      </c>
      <c r="F13" s="70">
        <f>SUMIFS(tblMov[Egreso],tblMov[Fecha],"&gt;="&amp;DATE(Anio,6,1),tblMov[Fecha],"&lt;="&amp;EOMONTH(DATE(Anio,6,1),0))</f>
        <v>0</v>
      </c>
      <c r="M13" t="str">
        <f>Configuración!F17</f>
        <v>Seguridad social</v>
      </c>
      <c r="N13">
        <f>SUMIFS(tblMov[Egreso],tblMov[Categoría],M13,tblMov[Fecha],"&gt;="&amp;DATE(Anio,Mes,1),tblMov[Fecha],"&lt;="&amp;EOMONTH(DATE(Anio,Mes,1),0))-ROW()/1000000</f>
        <v>-1.2999999999999999E-5</v>
      </c>
    </row>
    <row r="14" spans="1:14" x14ac:dyDescent="0.25">
      <c r="D14" s="67" t="str">
        <f>TEXT(DATE(Anio,7,1),"mmm")</f>
        <v>jul</v>
      </c>
      <c r="E14" s="68">
        <f>SUMIFS(tblMov[Ingreso],tblMov[Fecha],"&gt;="&amp;DATE(Anio,7,1),tblMov[Fecha],"&lt;="&amp;EOMONTH(DATE(Anio,7,1),0))</f>
        <v>0</v>
      </c>
      <c r="F14" s="68">
        <f>SUMIFS(tblMov[Egreso],tblMov[Fecha],"&gt;="&amp;DATE(Anio,7,1),tblMov[Fecha],"&lt;="&amp;EOMONTH(DATE(Anio,7,1),0))</f>
        <v>0</v>
      </c>
      <c r="M14" t="str">
        <f>Configuración!F18</f>
        <v>Nómina</v>
      </c>
      <c r="N14">
        <f>SUMIFS(tblMov[Egreso],tblMov[Categoría],M14,tblMov[Fecha],"&gt;="&amp;DATE(Anio,Mes,1),tblMov[Fecha],"&lt;="&amp;EOMONTH(DATE(Anio,Mes,1),0))-ROW()/1000000</f>
        <v>-1.4E-5</v>
      </c>
    </row>
    <row r="15" spans="1:14" x14ac:dyDescent="0.25">
      <c r="D15" s="69" t="str">
        <f>TEXT(DATE(Anio,8,1),"mmm")</f>
        <v>ago</v>
      </c>
      <c r="E15" s="70">
        <f>SUMIFS(tblMov[Ingreso],tblMov[Fecha],"&gt;="&amp;DATE(Anio,8,1),tblMov[Fecha],"&lt;="&amp;EOMONTH(DATE(Anio,8,1),0))</f>
        <v>0</v>
      </c>
      <c r="F15" s="70">
        <f>SUMIFS(tblMov[Egreso],tblMov[Fecha],"&gt;="&amp;DATE(Anio,8,1),tblMov[Fecha],"&lt;="&amp;EOMONTH(DATE(Anio,8,1),0))</f>
        <v>0</v>
      </c>
      <c r="M15" t="str">
        <f>Configuración!F19</f>
        <v>Impuestos</v>
      </c>
      <c r="N15">
        <f>SUMIFS(tblMov[Egreso],tblMov[Categoría],M15,tblMov[Fecha],"&gt;="&amp;DATE(Anio,Mes,1),tblMov[Fecha],"&lt;="&amp;EOMONTH(DATE(Anio,Mes,1),0))-ROW()/1000000</f>
        <v>-1.5E-5</v>
      </c>
    </row>
    <row r="16" spans="1:14" x14ac:dyDescent="0.25">
      <c r="D16" s="67" t="str">
        <f>TEXT(DATE(Anio,9,1),"mmm")</f>
        <v>sep</v>
      </c>
      <c r="E16" s="68">
        <f>SUMIFS(tblMov[Ingreso],tblMov[Fecha],"&gt;="&amp;DATE(Anio,9,1),tblMov[Fecha],"&lt;="&amp;EOMONTH(DATE(Anio,9,1),0))</f>
        <v>0</v>
      </c>
      <c r="F16" s="68">
        <f>SUMIFS(tblMov[Egreso],tblMov[Fecha],"&gt;="&amp;DATE(Anio,9,1),tblMov[Fecha],"&lt;="&amp;EOMONTH(DATE(Anio,9,1),0))</f>
        <v>0</v>
      </c>
      <c r="M16" t="str">
        <f>Configuración!F20</f>
        <v>Publicidad y mercadeo</v>
      </c>
      <c r="N16">
        <f>SUMIFS(tblMov[Egreso],tblMov[Categoría],M16,tblMov[Fecha],"&gt;="&amp;DATE(Anio,Mes,1),tblMov[Fecha],"&lt;="&amp;EOMONTH(DATE(Anio,Mes,1),0))-ROW()/1000000</f>
        <v>-1.5999999999999999E-5</v>
      </c>
    </row>
    <row r="17" spans="4:14" x14ac:dyDescent="0.25">
      <c r="D17" s="69" t="str">
        <f>TEXT(DATE(Anio,10,1),"mmm")</f>
        <v>oct</v>
      </c>
      <c r="E17" s="70">
        <f>SUMIFS(tblMov[Ingreso],tblMov[Fecha],"&gt;="&amp;DATE(Anio,10,1),tblMov[Fecha],"&lt;="&amp;EOMONTH(DATE(Anio,10,1),0))</f>
        <v>0</v>
      </c>
      <c r="F17" s="70">
        <f>SUMIFS(tblMov[Egreso],tblMov[Fecha],"&gt;="&amp;DATE(Anio,10,1),tblMov[Fecha],"&lt;="&amp;EOMONTH(DATE(Anio,10,1),0))</f>
        <v>0</v>
      </c>
      <c r="M17" t="str">
        <f>Configuración!F21</f>
        <v>Compra de equipos</v>
      </c>
      <c r="N17">
        <f>SUMIFS(tblMov[Egreso],tblMov[Categoría],M17,tblMov[Fecha],"&gt;="&amp;DATE(Anio,Mes,1),tblMov[Fecha],"&lt;="&amp;EOMONTH(DATE(Anio,Mes,1),0))-ROW()/1000000</f>
        <v>-1.7E-5</v>
      </c>
    </row>
    <row r="18" spans="4:14" x14ac:dyDescent="0.25">
      <c r="D18" s="67" t="str">
        <f>TEXT(DATE(Anio,11,1),"mmm")</f>
        <v>nov</v>
      </c>
      <c r="E18" s="68">
        <f>SUMIFS(tblMov[Ingreso],tblMov[Fecha],"&gt;="&amp;DATE(Anio,11,1),tblMov[Fecha],"&lt;="&amp;EOMONTH(DATE(Anio,11,1),0))</f>
        <v>8500</v>
      </c>
      <c r="F18" s="68">
        <f>SUMIFS(tblMov[Egreso],tblMov[Fecha],"&gt;="&amp;DATE(Anio,11,1),tblMov[Fecha],"&lt;="&amp;EOMONTH(DATE(Anio,11,1),0))</f>
        <v>240</v>
      </c>
      <c r="M18" t="str">
        <f>Configuración!F22</f>
        <v>Pago de créditos</v>
      </c>
      <c r="N18">
        <f>SUMIFS(tblMov[Egreso],tblMov[Categoría],M18,tblMov[Fecha],"&gt;="&amp;DATE(Anio,Mes,1),tblMov[Fecha],"&lt;="&amp;EOMONTH(DATE(Anio,Mes,1),0))-ROW()/1000000</f>
        <v>-1.8E-5</v>
      </c>
    </row>
    <row r="19" spans="4:14" x14ac:dyDescent="0.25">
      <c r="D19" s="69" t="str">
        <f>TEXT(DATE(Anio,12,1),"mmm")</f>
        <v>dic</v>
      </c>
      <c r="E19" s="70">
        <f>SUMIFS(tblMov[Ingreso],tblMov[Fecha],"&gt;="&amp;DATE(Anio,12,1),tblMov[Fecha],"&lt;="&amp;EOMONTH(DATE(Anio,12,1),0))</f>
        <v>0</v>
      </c>
      <c r="F19" s="70">
        <f>SUMIFS(tblMov[Egreso],tblMov[Fecha],"&gt;="&amp;DATE(Anio,12,1),tblMov[Fecha],"&lt;="&amp;EOMONTH(DATE(Anio,12,1),0))</f>
        <v>0</v>
      </c>
      <c r="M19" t="str">
        <f>Configuración!F23</f>
        <v>Otros gastos</v>
      </c>
      <c r="N19">
        <f>SUMIFS(tblMov[Egreso],tblMov[Categoría],M19,tblMov[Fecha],"&gt;="&amp;DATE(Anio,Mes,1),tblMov[Fecha],"&lt;="&amp;EOMONTH(DATE(Anio,Mes,1),0))-ROW()/1000000</f>
        <v>-1.9000000000000001E-5</v>
      </c>
    </row>
  </sheetData>
  <mergeCells count="4">
    <mergeCell ref="M2:N2"/>
    <mergeCell ref="M3:N3"/>
    <mergeCell ref="D6:F6"/>
    <mergeCell ref="I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653C-AEA2-4401-BECF-A5CDE1A25EA4}">
  <dimension ref="A1:Q202"/>
  <sheetViews>
    <sheetView showGridLines="0" showRowColHeaders="0" topLeftCell="A2" workbookViewId="0">
      <selection activeCell="F11" sqref="F11"/>
    </sheetView>
  </sheetViews>
  <sheetFormatPr baseColWidth="10" defaultRowHeight="15" x14ac:dyDescent="0.25"/>
  <cols>
    <col min="1" max="1" width="3.42578125" customWidth="1"/>
    <col min="2" max="3" width="18.140625" customWidth="1"/>
    <col min="4" max="4" width="33.28515625" customWidth="1"/>
    <col min="5" max="5" width="45.7109375" customWidth="1"/>
    <col min="6" max="7" width="21" customWidth="1"/>
    <col min="8" max="8" width="24.7109375" customWidth="1"/>
    <col min="9" max="9" width="3.42578125" customWidth="1"/>
  </cols>
  <sheetData>
    <row r="1" spans="1:17" ht="32.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6"/>
      <c r="P1" s="16"/>
      <c r="Q1" s="16"/>
    </row>
    <row r="2" spans="1:17" ht="32.1" customHeight="1" x14ac:dyDescent="0.25">
      <c r="A2" s="7"/>
      <c r="B2" s="7"/>
      <c r="C2" s="7"/>
      <c r="D2" s="7"/>
      <c r="E2" s="8"/>
      <c r="F2" s="7"/>
      <c r="G2" s="8" t="s">
        <v>46</v>
      </c>
      <c r="H2" s="7"/>
      <c r="I2" s="7"/>
      <c r="J2" s="7"/>
      <c r="K2" s="7"/>
      <c r="L2" s="9" t="s">
        <v>45</v>
      </c>
      <c r="M2" s="7"/>
      <c r="N2" s="7"/>
      <c r="O2" s="16"/>
      <c r="P2" s="16"/>
      <c r="Q2" s="16"/>
    </row>
    <row r="3" spans="1:17" ht="21.95" customHeight="1" x14ac:dyDescent="0.25">
      <c r="A3" s="10"/>
      <c r="B3" s="10"/>
      <c r="C3" s="10"/>
      <c r="D3" s="10"/>
      <c r="E3" s="11"/>
      <c r="F3" s="10"/>
      <c r="G3" s="11" t="s">
        <v>47</v>
      </c>
      <c r="H3" s="10"/>
      <c r="I3" s="10"/>
      <c r="J3" s="10"/>
      <c r="K3" s="10"/>
      <c r="L3" s="12" t="s">
        <v>42</v>
      </c>
      <c r="M3" s="10"/>
      <c r="N3" s="10"/>
      <c r="O3" s="16"/>
      <c r="P3" s="16"/>
      <c r="Q3" s="16"/>
    </row>
    <row r="4" spans="1:17" ht="3.9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6"/>
    </row>
    <row r="5" spans="1:17" ht="21.95" customHeight="1" x14ac:dyDescent="0.25">
      <c r="A5" s="17"/>
      <c r="B5" s="18" t="s">
        <v>54</v>
      </c>
      <c r="C5" s="19"/>
      <c r="D5" s="19"/>
      <c r="E5" s="19"/>
      <c r="F5" s="19"/>
      <c r="G5" s="19"/>
      <c r="H5" s="19"/>
      <c r="I5" s="17"/>
      <c r="J5" s="17"/>
      <c r="K5" s="17"/>
      <c r="L5" s="17"/>
      <c r="M5" s="17"/>
      <c r="N5" s="17"/>
      <c r="O5" s="17"/>
      <c r="P5" s="17"/>
      <c r="Q5" s="17"/>
    </row>
    <row r="6" spans="1:17" ht="27.95" customHeight="1" x14ac:dyDescent="0.25">
      <c r="A6" s="17"/>
      <c r="B6" s="20" t="s">
        <v>29</v>
      </c>
      <c r="C6" s="20" t="s">
        <v>26</v>
      </c>
      <c r="D6" s="20" t="s">
        <v>30</v>
      </c>
      <c r="E6" s="20" t="s">
        <v>31</v>
      </c>
      <c r="F6" s="20" t="s">
        <v>27</v>
      </c>
      <c r="G6" s="20" t="s">
        <v>28</v>
      </c>
      <c r="H6" s="20" t="s">
        <v>32</v>
      </c>
      <c r="I6" s="17"/>
      <c r="J6" s="17"/>
      <c r="K6" s="17"/>
      <c r="L6" s="17"/>
      <c r="M6" s="17"/>
      <c r="N6" s="17"/>
      <c r="O6" s="17"/>
      <c r="P6" s="17"/>
      <c r="Q6" s="17"/>
    </row>
    <row r="7" spans="1:17" ht="18" customHeight="1" x14ac:dyDescent="0.25">
      <c r="A7" s="17"/>
      <c r="B7" s="4">
        <v>46327</v>
      </c>
      <c r="C7" s="21" t="s">
        <v>27</v>
      </c>
      <c r="D7" s="22" t="s">
        <v>6</v>
      </c>
      <c r="E7" s="22" t="s">
        <v>39</v>
      </c>
      <c r="F7" s="23">
        <v>3500</v>
      </c>
      <c r="G7" s="23"/>
      <c r="H7" s="24">
        <f>IF(tblMov[[#This Row],[Fecha]]="","",SaldoInicial+SUMIFS(tblMov[Ingreso],tblMov[Fecha],"&lt;="&amp;tblMov[[#This Row],[Fecha]])-SUMIFS(tblMov[Egreso],tblMov[Fecha],"&lt;="&amp;tblMov[[#This Row],[Fecha]]))</f>
        <v>4500</v>
      </c>
      <c r="I7" s="17"/>
      <c r="J7" s="17"/>
      <c r="K7" s="17"/>
      <c r="L7" s="17"/>
      <c r="M7" s="17"/>
      <c r="N7" s="17"/>
      <c r="O7" s="17"/>
      <c r="P7" s="17"/>
      <c r="Q7" s="17"/>
    </row>
    <row r="8" spans="1:17" ht="18" customHeight="1" x14ac:dyDescent="0.25">
      <c r="A8" s="17"/>
      <c r="B8" s="4">
        <v>46328</v>
      </c>
      <c r="C8" s="21" t="s">
        <v>28</v>
      </c>
      <c r="D8" s="22" t="s">
        <v>13</v>
      </c>
      <c r="E8" s="22" t="s">
        <v>40</v>
      </c>
      <c r="F8" s="23"/>
      <c r="G8" s="23">
        <v>180</v>
      </c>
      <c r="H8" s="24">
        <f>IF(tblMov[[#This Row],[Fecha]]="","",SaldoInicial+SUMIFS(tblMov[Ingreso],tblMov[Fecha],"&lt;="&amp;tblMov[[#This Row],[Fecha]])-SUMIFS(tblMov[Egreso],tblMov[Fecha],"&lt;="&amp;tblMov[[#This Row],[Fecha]]))</f>
        <v>4320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ht="18" customHeight="1" x14ac:dyDescent="0.25">
      <c r="A9" s="17"/>
      <c r="B9" s="4">
        <v>46329</v>
      </c>
      <c r="C9" s="21" t="s">
        <v>28</v>
      </c>
      <c r="D9" s="22" t="s">
        <v>14</v>
      </c>
      <c r="E9" s="22" t="s">
        <v>41</v>
      </c>
      <c r="F9" s="23"/>
      <c r="G9" s="23">
        <v>60</v>
      </c>
      <c r="H9" s="24">
        <f>IF(tblMov[[#This Row],[Fecha]]="","",SaldoInicial+SUMIFS(tblMov[Ingreso],tblMov[Fecha],"&lt;="&amp;tblMov[[#This Row],[Fecha]])-SUMIFS(tblMov[Egreso],tblMov[Fecha],"&lt;="&amp;tblMov[[#This Row],[Fecha]]))</f>
        <v>9260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ht="18" customHeight="1" x14ac:dyDescent="0.25">
      <c r="A10" s="17"/>
      <c r="B10" s="4">
        <v>46329</v>
      </c>
      <c r="C10" s="21" t="s">
        <v>27</v>
      </c>
      <c r="D10" s="22" t="s">
        <v>11</v>
      </c>
      <c r="E10" s="22" t="s">
        <v>66</v>
      </c>
      <c r="F10" s="23">
        <v>5000</v>
      </c>
      <c r="G10" s="23"/>
      <c r="H10" s="24">
        <f>IF(tblMov[[#This Row],[Fecha]]="","",SaldoInicial+SUMIFS(tblMov[Ingreso],tblMov[Fecha],"&lt;="&amp;tblMov[[#This Row],[Fecha]])-SUMIFS(tblMov[Egreso],tblMov[Fecha],"&lt;="&amp;tblMov[[#This Row],[Fecha]]))</f>
        <v>9260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18" customHeight="1" x14ac:dyDescent="0.25">
      <c r="A11" s="17"/>
      <c r="B11" s="4"/>
      <c r="C11" s="21"/>
      <c r="D11" s="22"/>
      <c r="E11" s="22"/>
      <c r="F11" s="23"/>
      <c r="G11" s="23"/>
      <c r="H11" s="24" t="str">
        <f>IF(tblMov[[#This Row],[Fecha]]="","",SaldoInicial+SUMIFS(tblMov[Ingreso],tblMov[Fecha],"&lt;="&amp;tblMov[[#This Row],[Fecha]])-SUMIFS(tblMov[Egreso],tblMov[Fecha],"&lt;="&amp;tblMov[[#This Row],[Fecha]]))</f>
        <v/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8" customHeight="1" x14ac:dyDescent="0.25">
      <c r="A12" s="17"/>
      <c r="B12" s="4"/>
      <c r="C12" s="21"/>
      <c r="D12" s="22"/>
      <c r="E12" s="22"/>
      <c r="F12" s="23"/>
      <c r="G12" s="23"/>
      <c r="H12" s="24" t="str">
        <f>IF(tblMov[[#This Row],[Fecha]]="","",SaldoInicial+SUMIFS(tblMov[Ingreso],tblMov[Fecha],"&lt;="&amp;tblMov[[#This Row],[Fecha]])-SUMIFS(tblMov[Egreso],tblMov[Fecha],"&lt;="&amp;tblMov[[#This Row],[Fecha]]))</f>
        <v/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18" customHeight="1" x14ac:dyDescent="0.25">
      <c r="A13" s="17"/>
      <c r="B13" s="4"/>
      <c r="C13" s="21"/>
      <c r="D13" s="22"/>
      <c r="E13" s="22"/>
      <c r="F13" s="23"/>
      <c r="G13" s="23"/>
      <c r="H13" s="24" t="str">
        <f>IF(tblMov[[#This Row],[Fecha]]="","",SaldoInicial+SUMIFS(tblMov[Ingreso],tblMov[Fecha],"&lt;="&amp;tblMov[[#This Row],[Fecha]])-SUMIFS(tblMov[Egreso],tblMov[Fecha],"&lt;="&amp;tblMov[[#This Row],[Fecha]]))</f>
        <v/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18" customHeight="1" x14ac:dyDescent="0.25">
      <c r="A14" s="17"/>
      <c r="B14" s="4"/>
      <c r="C14" s="21"/>
      <c r="D14" s="22"/>
      <c r="E14" s="22"/>
      <c r="F14" s="23"/>
      <c r="G14" s="23"/>
      <c r="H14" s="24" t="str">
        <f>IF(tblMov[[#This Row],[Fecha]]="","",SaldoInicial+SUMIFS(tblMov[Ingreso],tblMov[Fecha],"&lt;="&amp;tblMov[[#This Row],[Fecha]])-SUMIFS(tblMov[Egreso],tblMov[Fecha],"&lt;="&amp;tblMov[[#This Row],[Fecha]]))</f>
        <v/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18" customHeight="1" x14ac:dyDescent="0.25">
      <c r="A15" s="17"/>
      <c r="B15" s="4"/>
      <c r="C15" s="21"/>
      <c r="D15" s="22"/>
      <c r="E15" s="22"/>
      <c r="F15" s="23"/>
      <c r="G15" s="23"/>
      <c r="H15" s="24" t="str">
        <f>IF(tblMov[[#This Row],[Fecha]]="","",SaldoInicial+SUMIFS(tblMov[Ingreso],tblMov[Fecha],"&lt;="&amp;tblMov[[#This Row],[Fecha]])-SUMIFS(tblMov[Egreso],tblMov[Fecha],"&lt;="&amp;tblMov[[#This Row],[Fecha]]))</f>
        <v/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18" customHeight="1" x14ac:dyDescent="0.25">
      <c r="A16" s="17"/>
      <c r="B16" s="4"/>
      <c r="C16" s="21"/>
      <c r="D16" s="22"/>
      <c r="E16" s="22"/>
      <c r="F16" s="23"/>
      <c r="G16" s="23"/>
      <c r="H16" s="24" t="str">
        <f>IF(tblMov[[#This Row],[Fecha]]="","",SaldoInicial+SUMIFS(tblMov[Ingreso],tblMov[Fecha],"&lt;="&amp;tblMov[[#This Row],[Fecha]])-SUMIFS(tblMov[Egreso],tblMov[Fecha],"&lt;="&amp;tblMov[[#This Row],[Fecha]]))</f>
        <v/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ht="18" customHeight="1" x14ac:dyDescent="0.25">
      <c r="A17" s="17"/>
      <c r="B17" s="4"/>
      <c r="C17" s="21"/>
      <c r="D17" s="22"/>
      <c r="E17" s="22"/>
      <c r="F17" s="23"/>
      <c r="G17" s="23"/>
      <c r="H17" s="24" t="str">
        <f>IF(tblMov[[#This Row],[Fecha]]="","",SaldoInicial+SUMIFS(tblMov[Ingreso],tblMov[Fecha],"&lt;="&amp;tblMov[[#This Row],[Fecha]])-SUMIFS(tblMov[Egreso],tblMov[Fecha],"&lt;="&amp;tblMov[[#This Row],[Fecha]]))</f>
        <v/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8" customHeight="1" x14ac:dyDescent="0.25">
      <c r="A18" s="17"/>
      <c r="B18" s="4"/>
      <c r="C18" s="21"/>
      <c r="D18" s="22"/>
      <c r="E18" s="22"/>
      <c r="F18" s="23"/>
      <c r="G18" s="23"/>
      <c r="H18" s="24" t="str">
        <f>IF(tblMov[[#This Row],[Fecha]]="","",SaldoInicial+SUMIFS(tblMov[Ingreso],tblMov[Fecha],"&lt;="&amp;tblMov[[#This Row],[Fecha]])-SUMIFS(tblMov[Egreso],tblMov[Fecha],"&lt;="&amp;tblMov[[#This Row],[Fecha]]))</f>
        <v/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18" customHeight="1" x14ac:dyDescent="0.25">
      <c r="A19" s="17"/>
      <c r="B19" s="4"/>
      <c r="C19" s="21"/>
      <c r="D19" s="22"/>
      <c r="E19" s="22"/>
      <c r="F19" s="23"/>
      <c r="G19" s="23"/>
      <c r="H19" s="24" t="str">
        <f>IF(tblMov[[#This Row],[Fecha]]="","",SaldoInicial+SUMIFS(tblMov[Ingreso],tblMov[Fecha],"&lt;="&amp;tblMov[[#This Row],[Fecha]])-SUMIFS(tblMov[Egreso],tblMov[Fecha],"&lt;="&amp;tblMov[[#This Row],[Fecha]]))</f>
        <v/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8" customHeight="1" x14ac:dyDescent="0.25">
      <c r="A20" s="17"/>
      <c r="B20" s="4"/>
      <c r="C20" s="21"/>
      <c r="D20" s="22"/>
      <c r="E20" s="22"/>
      <c r="F20" s="23"/>
      <c r="G20" s="23"/>
      <c r="H20" s="24" t="str">
        <f>IF(tblMov[[#This Row],[Fecha]]="","",SaldoInicial+SUMIFS(tblMov[Ingreso],tblMov[Fecha],"&lt;="&amp;tblMov[[#This Row],[Fecha]])-SUMIFS(tblMov[Egreso],tblMov[Fecha],"&lt;="&amp;tblMov[[#This Row],[Fecha]]))</f>
        <v/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8" customHeight="1" x14ac:dyDescent="0.25">
      <c r="A21" s="17"/>
      <c r="B21" s="4"/>
      <c r="C21" s="21"/>
      <c r="D21" s="22"/>
      <c r="E21" s="22"/>
      <c r="F21" s="23"/>
      <c r="G21" s="23"/>
      <c r="H21" s="24" t="str">
        <f>IF(tblMov[[#This Row],[Fecha]]="","",SaldoInicial+SUMIFS(tblMov[Ingreso],tblMov[Fecha],"&lt;="&amp;tblMov[[#This Row],[Fecha]])-SUMIFS(tblMov[Egreso],tblMov[Fecha],"&lt;="&amp;tblMov[[#This Row],[Fecha]]))</f>
        <v/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18" customHeight="1" x14ac:dyDescent="0.25">
      <c r="A22" s="17"/>
      <c r="B22" s="4"/>
      <c r="C22" s="21"/>
      <c r="D22" s="22"/>
      <c r="E22" s="22"/>
      <c r="F22" s="23"/>
      <c r="G22" s="23"/>
      <c r="H22" s="24" t="str">
        <f>IF(tblMov[[#This Row],[Fecha]]="","",SaldoInicial+SUMIFS(tblMov[Ingreso],tblMov[Fecha],"&lt;="&amp;tblMov[[#This Row],[Fecha]])-SUMIFS(tblMov[Egreso],tblMov[Fecha],"&lt;="&amp;tblMov[[#This Row],[Fecha]]))</f>
        <v/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18" customHeight="1" x14ac:dyDescent="0.25">
      <c r="A23" s="17"/>
      <c r="B23" s="4"/>
      <c r="C23" s="21"/>
      <c r="D23" s="22"/>
      <c r="E23" s="22"/>
      <c r="F23" s="23"/>
      <c r="G23" s="23"/>
      <c r="H23" s="24" t="str">
        <f>IF(tblMov[[#This Row],[Fecha]]="","",SaldoInicial+SUMIFS(tblMov[Ingreso],tblMov[Fecha],"&lt;="&amp;tblMov[[#This Row],[Fecha]])-SUMIFS(tblMov[Egreso],tblMov[Fecha],"&lt;="&amp;tblMov[[#This Row],[Fecha]]))</f>
        <v/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ht="18" customHeight="1" x14ac:dyDescent="0.25">
      <c r="A24" s="17"/>
      <c r="B24" s="4"/>
      <c r="C24" s="21"/>
      <c r="D24" s="22"/>
      <c r="E24" s="22"/>
      <c r="F24" s="23"/>
      <c r="G24" s="23"/>
      <c r="H24" s="24" t="str">
        <f>IF(tblMov[[#This Row],[Fecha]]="","",SaldoInicial+SUMIFS(tblMov[Ingreso],tblMov[Fecha],"&lt;="&amp;tblMov[[#This Row],[Fecha]])-SUMIFS(tblMov[Egreso],tblMov[Fecha],"&lt;="&amp;tblMov[[#This Row],[Fecha]]))</f>
        <v/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ht="18" customHeight="1" x14ac:dyDescent="0.25">
      <c r="A25" s="17"/>
      <c r="B25" s="4"/>
      <c r="C25" s="21"/>
      <c r="D25" s="22"/>
      <c r="E25" s="22"/>
      <c r="F25" s="23"/>
      <c r="G25" s="23"/>
      <c r="H25" s="24" t="str">
        <f>IF(tblMov[[#This Row],[Fecha]]="","",SaldoInicial+SUMIFS(tblMov[Ingreso],tblMov[Fecha],"&lt;="&amp;tblMov[[#This Row],[Fecha]])-SUMIFS(tblMov[Egreso],tblMov[Fecha],"&lt;="&amp;tblMov[[#This Row],[Fecha]]))</f>
        <v/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ht="18" customHeight="1" x14ac:dyDescent="0.25">
      <c r="A26" s="17"/>
      <c r="B26" s="4"/>
      <c r="C26" s="21"/>
      <c r="D26" s="22"/>
      <c r="E26" s="22"/>
      <c r="F26" s="23"/>
      <c r="G26" s="23"/>
      <c r="H26" s="24" t="str">
        <f>IF(tblMov[[#This Row],[Fecha]]="","",SaldoInicial+SUMIFS(tblMov[Ingreso],tblMov[Fecha],"&lt;="&amp;tblMov[[#This Row],[Fecha]])-SUMIFS(tblMov[Egreso],tblMov[Fecha],"&lt;="&amp;tblMov[[#This Row],[Fecha]]))</f>
        <v/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ht="18" customHeight="1" x14ac:dyDescent="0.25">
      <c r="A27" s="17"/>
      <c r="B27" s="4"/>
      <c r="C27" s="21"/>
      <c r="D27" s="22"/>
      <c r="E27" s="22"/>
      <c r="F27" s="23"/>
      <c r="G27" s="23"/>
      <c r="H27" s="24" t="str">
        <f>IF(tblMov[[#This Row],[Fecha]]="","",SaldoInicial+SUMIFS(tblMov[Ingreso],tblMov[Fecha],"&lt;="&amp;tblMov[[#This Row],[Fecha]])-SUMIFS(tblMov[Egreso],tblMov[Fecha],"&lt;="&amp;tblMov[[#This Row],[Fecha]]))</f>
        <v/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ht="18" customHeight="1" x14ac:dyDescent="0.25">
      <c r="A28" s="17"/>
      <c r="B28" s="4"/>
      <c r="C28" s="21"/>
      <c r="D28" s="22"/>
      <c r="E28" s="22"/>
      <c r="F28" s="23"/>
      <c r="G28" s="23"/>
      <c r="H28" s="24" t="str">
        <f>IF(tblMov[[#This Row],[Fecha]]="","",SaldoInicial+SUMIFS(tblMov[Ingreso],tblMov[Fecha],"&lt;="&amp;tblMov[[#This Row],[Fecha]])-SUMIFS(tblMov[Egreso],tblMov[Fecha],"&lt;="&amp;tblMov[[#This Row],[Fecha]]))</f>
        <v/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ht="18" customHeight="1" x14ac:dyDescent="0.25">
      <c r="A29" s="17"/>
      <c r="B29" s="4"/>
      <c r="C29" s="21"/>
      <c r="D29" s="22"/>
      <c r="E29" s="22"/>
      <c r="F29" s="23"/>
      <c r="G29" s="23"/>
      <c r="H29" s="24" t="str">
        <f>IF(tblMov[[#This Row],[Fecha]]="","",SaldoInicial+SUMIFS(tblMov[Ingreso],tblMov[Fecha],"&lt;="&amp;tblMov[[#This Row],[Fecha]])-SUMIFS(tblMov[Egreso],tblMov[Fecha],"&lt;="&amp;tblMov[[#This Row],[Fecha]]))</f>
        <v/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 ht="18" customHeight="1" x14ac:dyDescent="0.25">
      <c r="A30" s="17"/>
      <c r="B30" s="4"/>
      <c r="C30" s="21"/>
      <c r="D30" s="22"/>
      <c r="E30" s="22"/>
      <c r="F30" s="23"/>
      <c r="G30" s="23"/>
      <c r="H30" s="24" t="str">
        <f>IF(tblMov[[#This Row],[Fecha]]="","",SaldoInicial+SUMIFS(tblMov[Ingreso],tblMov[Fecha],"&lt;="&amp;tblMov[[#This Row],[Fecha]])-SUMIFS(tblMov[Egreso],tblMov[Fecha],"&lt;="&amp;tblMov[[#This Row],[Fecha]]))</f>
        <v/>
      </c>
      <c r="I30" s="17"/>
      <c r="J30" s="17"/>
      <c r="K30" s="17"/>
      <c r="L30" s="17"/>
      <c r="M30" s="17"/>
      <c r="N30" s="17"/>
      <c r="O30" s="17"/>
      <c r="P30" s="17"/>
      <c r="Q30" s="17"/>
    </row>
    <row r="31" spans="1:17" ht="18" customHeight="1" x14ac:dyDescent="0.25">
      <c r="A31" s="17"/>
      <c r="B31" s="4"/>
      <c r="C31" s="21"/>
      <c r="D31" s="22"/>
      <c r="E31" s="22"/>
      <c r="F31" s="23"/>
      <c r="G31" s="23"/>
      <c r="H31" s="24" t="str">
        <f>IF(tblMov[[#This Row],[Fecha]]="","",SaldoInicial+SUMIFS(tblMov[Ingreso],tblMov[Fecha],"&lt;="&amp;tblMov[[#This Row],[Fecha]])-SUMIFS(tblMov[Egreso],tblMov[Fecha],"&lt;="&amp;tblMov[[#This Row],[Fecha]]))</f>
        <v/>
      </c>
      <c r="I31" s="17"/>
      <c r="J31" s="17"/>
      <c r="K31" s="17"/>
      <c r="L31" s="17"/>
      <c r="M31" s="17"/>
      <c r="N31" s="17"/>
      <c r="O31" s="17"/>
      <c r="P31" s="17"/>
      <c r="Q31" s="17"/>
    </row>
    <row r="32" spans="1:17" ht="18" customHeight="1" x14ac:dyDescent="0.25">
      <c r="A32" s="17"/>
      <c r="B32" s="4"/>
      <c r="C32" s="21"/>
      <c r="D32" s="22"/>
      <c r="E32" s="22"/>
      <c r="F32" s="23"/>
      <c r="G32" s="23"/>
      <c r="H32" s="24" t="str">
        <f>IF(tblMov[[#This Row],[Fecha]]="","",SaldoInicial+SUMIFS(tblMov[Ingreso],tblMov[Fecha],"&lt;="&amp;tblMov[[#This Row],[Fecha]])-SUMIFS(tblMov[Egreso],tblMov[Fecha],"&lt;="&amp;tblMov[[#This Row],[Fecha]]))</f>
        <v/>
      </c>
      <c r="I32" s="17"/>
      <c r="J32" s="17"/>
      <c r="K32" s="17"/>
      <c r="L32" s="17"/>
      <c r="M32" s="17"/>
      <c r="N32" s="17"/>
      <c r="O32" s="17"/>
      <c r="P32" s="17"/>
      <c r="Q32" s="17"/>
    </row>
    <row r="33" spans="1:17" ht="18" customHeight="1" x14ac:dyDescent="0.25">
      <c r="A33" s="17"/>
      <c r="B33" s="4"/>
      <c r="C33" s="21"/>
      <c r="D33" s="22"/>
      <c r="E33" s="22"/>
      <c r="F33" s="23"/>
      <c r="G33" s="23"/>
      <c r="H33" s="24" t="str">
        <f>IF(tblMov[[#This Row],[Fecha]]="","",SaldoInicial+SUMIFS(tblMov[Ingreso],tblMov[Fecha],"&lt;="&amp;tblMov[[#This Row],[Fecha]])-SUMIFS(tblMov[Egreso],tblMov[Fecha],"&lt;="&amp;tblMov[[#This Row],[Fecha]]))</f>
        <v/>
      </c>
      <c r="I33" s="17"/>
      <c r="J33" s="17"/>
      <c r="K33" s="17"/>
      <c r="L33" s="17"/>
      <c r="M33" s="17"/>
      <c r="N33" s="17"/>
      <c r="O33" s="17"/>
      <c r="P33" s="17"/>
      <c r="Q33" s="17"/>
    </row>
    <row r="34" spans="1:17" ht="18" customHeight="1" x14ac:dyDescent="0.25">
      <c r="A34" s="17"/>
      <c r="B34" s="4"/>
      <c r="C34" s="21"/>
      <c r="D34" s="22"/>
      <c r="E34" s="22"/>
      <c r="F34" s="23"/>
      <c r="G34" s="23"/>
      <c r="H34" s="24" t="str">
        <f>IF(tblMov[[#This Row],[Fecha]]="","",SaldoInicial+SUMIFS(tblMov[Ingreso],tblMov[Fecha],"&lt;="&amp;tblMov[[#This Row],[Fecha]])-SUMIFS(tblMov[Egreso],tblMov[Fecha],"&lt;="&amp;tblMov[[#This Row],[Fecha]]))</f>
        <v/>
      </c>
      <c r="I34" s="17"/>
      <c r="J34" s="17"/>
      <c r="K34" s="17"/>
      <c r="L34" s="17"/>
      <c r="M34" s="17"/>
      <c r="N34" s="17"/>
      <c r="O34" s="17"/>
      <c r="P34" s="17"/>
      <c r="Q34" s="17"/>
    </row>
    <row r="35" spans="1:17" ht="18" customHeight="1" x14ac:dyDescent="0.25">
      <c r="A35" s="17"/>
      <c r="B35" s="4"/>
      <c r="C35" s="21"/>
      <c r="D35" s="22"/>
      <c r="E35" s="22"/>
      <c r="F35" s="23"/>
      <c r="G35" s="23"/>
      <c r="H35" s="24" t="str">
        <f>IF(tblMov[[#This Row],[Fecha]]="","",SaldoInicial+SUMIFS(tblMov[Ingreso],tblMov[Fecha],"&lt;="&amp;tblMov[[#This Row],[Fecha]])-SUMIFS(tblMov[Egreso],tblMov[Fecha],"&lt;="&amp;tblMov[[#This Row],[Fecha]]))</f>
        <v/>
      </c>
      <c r="I35" s="17"/>
      <c r="J35" s="17"/>
      <c r="K35" s="17"/>
      <c r="L35" s="17"/>
      <c r="M35" s="17"/>
      <c r="N35" s="17"/>
      <c r="O35" s="17"/>
      <c r="P35" s="17"/>
      <c r="Q35" s="17"/>
    </row>
    <row r="36" spans="1:17" ht="18" customHeight="1" x14ac:dyDescent="0.25">
      <c r="A36" s="17"/>
      <c r="B36" s="4"/>
      <c r="C36" s="21"/>
      <c r="D36" s="22"/>
      <c r="E36" s="22"/>
      <c r="F36" s="23"/>
      <c r="G36" s="23"/>
      <c r="H36" s="24" t="str">
        <f>IF(tblMov[[#This Row],[Fecha]]="","",SaldoInicial+SUMIFS(tblMov[Ingreso],tblMov[Fecha],"&lt;="&amp;tblMov[[#This Row],[Fecha]])-SUMIFS(tblMov[Egreso],tblMov[Fecha],"&lt;="&amp;tblMov[[#This Row],[Fecha]]))</f>
        <v/>
      </c>
      <c r="I36" s="17"/>
      <c r="J36" s="17"/>
      <c r="K36" s="17"/>
      <c r="L36" s="17"/>
      <c r="M36" s="17"/>
      <c r="N36" s="17"/>
      <c r="O36" s="17"/>
      <c r="P36" s="17"/>
      <c r="Q36" s="17"/>
    </row>
    <row r="37" spans="1:17" ht="18" customHeight="1" x14ac:dyDescent="0.25">
      <c r="A37" s="17"/>
      <c r="B37" s="4"/>
      <c r="C37" s="21"/>
      <c r="D37" s="22"/>
      <c r="E37" s="22"/>
      <c r="F37" s="23"/>
      <c r="G37" s="23"/>
      <c r="H37" s="24" t="str">
        <f>IF(tblMov[[#This Row],[Fecha]]="","",SaldoInicial+SUMIFS(tblMov[Ingreso],tblMov[Fecha],"&lt;="&amp;tblMov[[#This Row],[Fecha]])-SUMIFS(tblMov[Egreso],tblMov[Fecha],"&lt;="&amp;tblMov[[#This Row],[Fecha]]))</f>
        <v/>
      </c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8" customHeight="1" x14ac:dyDescent="0.25">
      <c r="A38" s="17"/>
      <c r="B38" s="4"/>
      <c r="C38" s="21"/>
      <c r="D38" s="22"/>
      <c r="E38" s="22"/>
      <c r="F38" s="23"/>
      <c r="G38" s="23"/>
      <c r="H38" s="24" t="str">
        <f>IF(tblMov[[#This Row],[Fecha]]="","",SaldoInicial+SUMIFS(tblMov[Ingreso],tblMov[Fecha],"&lt;="&amp;tblMov[[#This Row],[Fecha]])-SUMIFS(tblMov[Egreso],tblMov[Fecha],"&lt;="&amp;tblMov[[#This Row],[Fecha]]))</f>
        <v/>
      </c>
      <c r="I38" s="17"/>
      <c r="J38" s="17"/>
      <c r="K38" s="17"/>
      <c r="L38" s="17"/>
      <c r="M38" s="17"/>
      <c r="N38" s="17"/>
      <c r="O38" s="17"/>
      <c r="P38" s="17"/>
      <c r="Q38" s="17"/>
    </row>
    <row r="39" spans="1:17" ht="18" customHeight="1" x14ac:dyDescent="0.25">
      <c r="A39" s="17"/>
      <c r="B39" s="4"/>
      <c r="C39" s="21"/>
      <c r="D39" s="22"/>
      <c r="E39" s="22"/>
      <c r="F39" s="23"/>
      <c r="G39" s="23"/>
      <c r="H39" s="24" t="str">
        <f>IF(tblMov[[#This Row],[Fecha]]="","",SaldoInicial+SUMIFS(tblMov[Ingreso],tblMov[Fecha],"&lt;="&amp;tblMov[[#This Row],[Fecha]])-SUMIFS(tblMov[Egreso],tblMov[Fecha],"&lt;="&amp;tblMov[[#This Row],[Fecha]]))</f>
        <v/>
      </c>
      <c r="I39" s="17"/>
      <c r="J39" s="17"/>
      <c r="K39" s="17"/>
      <c r="L39" s="17"/>
      <c r="M39" s="17"/>
      <c r="N39" s="17"/>
      <c r="O39" s="17"/>
      <c r="P39" s="17"/>
      <c r="Q39" s="17"/>
    </row>
    <row r="40" spans="1:17" ht="18" customHeight="1" x14ac:dyDescent="0.25">
      <c r="A40" s="17"/>
      <c r="B40" s="4"/>
      <c r="C40" s="21"/>
      <c r="D40" s="22"/>
      <c r="E40" s="22"/>
      <c r="F40" s="23"/>
      <c r="G40" s="23"/>
      <c r="H40" s="24" t="str">
        <f>IF(tblMov[[#This Row],[Fecha]]="","",SaldoInicial+SUMIFS(tblMov[Ingreso],tblMov[Fecha],"&lt;="&amp;tblMov[[#This Row],[Fecha]])-SUMIFS(tblMov[Egreso],tblMov[Fecha],"&lt;="&amp;tblMov[[#This Row],[Fecha]]))</f>
        <v/>
      </c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18" customHeight="1" x14ac:dyDescent="0.25">
      <c r="A41" s="17"/>
      <c r="B41" s="4"/>
      <c r="C41" s="21"/>
      <c r="D41" s="22"/>
      <c r="E41" s="22"/>
      <c r="F41" s="23"/>
      <c r="G41" s="23"/>
      <c r="H41" s="24" t="str">
        <f>IF(tblMov[[#This Row],[Fecha]]="","",SaldoInicial+SUMIFS(tblMov[Ingreso],tblMov[Fecha],"&lt;="&amp;tblMov[[#This Row],[Fecha]])-SUMIFS(tblMov[Egreso],tblMov[Fecha],"&lt;="&amp;tblMov[[#This Row],[Fecha]]))</f>
        <v/>
      </c>
      <c r="I41" s="17"/>
      <c r="J41" s="17"/>
      <c r="K41" s="17"/>
      <c r="L41" s="17"/>
      <c r="M41" s="17"/>
      <c r="N41" s="17"/>
      <c r="O41" s="17"/>
      <c r="P41" s="17"/>
      <c r="Q41" s="17"/>
    </row>
    <row r="42" spans="1:17" ht="18" customHeight="1" x14ac:dyDescent="0.25">
      <c r="A42" s="17"/>
      <c r="B42" s="4"/>
      <c r="C42" s="21"/>
      <c r="D42" s="22"/>
      <c r="E42" s="22"/>
      <c r="F42" s="23"/>
      <c r="G42" s="23"/>
      <c r="H42" s="24" t="str">
        <f>IF(tblMov[[#This Row],[Fecha]]="","",SaldoInicial+SUMIFS(tblMov[Ingreso],tblMov[Fecha],"&lt;="&amp;tblMov[[#This Row],[Fecha]])-SUMIFS(tblMov[Egreso],tblMov[Fecha],"&lt;="&amp;tblMov[[#This Row],[Fecha]]))</f>
        <v/>
      </c>
      <c r="I42" s="17"/>
      <c r="J42" s="17"/>
      <c r="K42" s="17"/>
      <c r="L42" s="17"/>
      <c r="M42" s="17"/>
      <c r="N42" s="17"/>
      <c r="O42" s="17"/>
      <c r="P42" s="17"/>
      <c r="Q42" s="17"/>
    </row>
    <row r="43" spans="1:17" ht="18" customHeight="1" x14ac:dyDescent="0.25">
      <c r="A43" s="17"/>
      <c r="B43" s="4"/>
      <c r="C43" s="21"/>
      <c r="D43" s="22"/>
      <c r="E43" s="22"/>
      <c r="F43" s="23"/>
      <c r="G43" s="23"/>
      <c r="H43" s="24" t="str">
        <f>IF(tblMov[[#This Row],[Fecha]]="","",SaldoInicial+SUMIFS(tblMov[Ingreso],tblMov[Fecha],"&lt;="&amp;tblMov[[#This Row],[Fecha]])-SUMIFS(tblMov[Egreso],tblMov[Fecha],"&lt;="&amp;tblMov[[#This Row],[Fecha]]))</f>
        <v/>
      </c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18" customHeight="1" x14ac:dyDescent="0.25">
      <c r="A44" s="17"/>
      <c r="B44" s="4"/>
      <c r="C44" s="21"/>
      <c r="D44" s="22"/>
      <c r="E44" s="22"/>
      <c r="F44" s="23"/>
      <c r="G44" s="23"/>
      <c r="H44" s="24" t="str">
        <f>IF(tblMov[[#This Row],[Fecha]]="","",SaldoInicial+SUMIFS(tblMov[Ingreso],tblMov[Fecha],"&lt;="&amp;tblMov[[#This Row],[Fecha]])-SUMIFS(tblMov[Egreso],tblMov[Fecha],"&lt;="&amp;tblMov[[#This Row],[Fecha]]))</f>
        <v/>
      </c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18" customHeight="1" x14ac:dyDescent="0.25">
      <c r="A45" s="17"/>
      <c r="B45" s="4"/>
      <c r="C45" s="21"/>
      <c r="D45" s="22"/>
      <c r="E45" s="22"/>
      <c r="F45" s="23"/>
      <c r="G45" s="23"/>
      <c r="H45" s="24" t="str">
        <f>IF(tblMov[[#This Row],[Fecha]]="","",SaldoInicial+SUMIFS(tblMov[Ingreso],tblMov[Fecha],"&lt;="&amp;tblMov[[#This Row],[Fecha]])-SUMIFS(tblMov[Egreso],tblMov[Fecha],"&lt;="&amp;tblMov[[#This Row],[Fecha]]))</f>
        <v/>
      </c>
      <c r="I45" s="17"/>
      <c r="J45" s="17"/>
      <c r="K45" s="17"/>
      <c r="L45" s="17"/>
      <c r="M45" s="17"/>
      <c r="N45" s="17"/>
      <c r="O45" s="17"/>
      <c r="P45" s="17"/>
      <c r="Q45" s="17"/>
    </row>
    <row r="46" spans="1:17" ht="18" customHeight="1" x14ac:dyDescent="0.25">
      <c r="A46" s="17"/>
      <c r="B46" s="4"/>
      <c r="C46" s="21"/>
      <c r="D46" s="22"/>
      <c r="E46" s="22"/>
      <c r="F46" s="23"/>
      <c r="G46" s="23"/>
      <c r="H46" s="24" t="str">
        <f>IF(tblMov[[#This Row],[Fecha]]="","",SaldoInicial+SUMIFS(tblMov[Ingreso],tblMov[Fecha],"&lt;="&amp;tblMov[[#This Row],[Fecha]])-SUMIFS(tblMov[Egreso],tblMov[Fecha],"&lt;="&amp;tblMov[[#This Row],[Fecha]]))</f>
        <v/>
      </c>
      <c r="I46" s="17"/>
      <c r="J46" s="17"/>
      <c r="K46" s="17"/>
      <c r="L46" s="17"/>
      <c r="M46" s="17"/>
      <c r="N46" s="17"/>
      <c r="O46" s="17"/>
      <c r="P46" s="17"/>
      <c r="Q46" s="17"/>
    </row>
    <row r="47" spans="1:17" ht="18" customHeight="1" x14ac:dyDescent="0.25">
      <c r="A47" s="17"/>
      <c r="B47" s="4"/>
      <c r="C47" s="21"/>
      <c r="D47" s="22"/>
      <c r="E47" s="22"/>
      <c r="F47" s="23"/>
      <c r="G47" s="23"/>
      <c r="H47" s="24" t="str">
        <f>IF(tblMov[[#This Row],[Fecha]]="","",SaldoInicial+SUMIFS(tblMov[Ingreso],tblMov[Fecha],"&lt;="&amp;tblMov[[#This Row],[Fecha]])-SUMIFS(tblMov[Egreso],tblMov[Fecha],"&lt;="&amp;tblMov[[#This Row],[Fecha]]))</f>
        <v/>
      </c>
      <c r="I47" s="17"/>
      <c r="J47" s="17"/>
      <c r="K47" s="17"/>
      <c r="L47" s="17"/>
      <c r="M47" s="17"/>
      <c r="N47" s="17"/>
      <c r="O47" s="17"/>
      <c r="P47" s="17"/>
      <c r="Q47" s="17"/>
    </row>
    <row r="48" spans="1:17" ht="18" customHeight="1" x14ac:dyDescent="0.25">
      <c r="A48" s="17"/>
      <c r="B48" s="4"/>
      <c r="C48" s="21"/>
      <c r="D48" s="22"/>
      <c r="E48" s="22"/>
      <c r="F48" s="23"/>
      <c r="G48" s="23"/>
      <c r="H48" s="24" t="str">
        <f>IF(tblMov[[#This Row],[Fecha]]="","",SaldoInicial+SUMIFS(tblMov[Ingreso],tblMov[Fecha],"&lt;="&amp;tblMov[[#This Row],[Fecha]])-SUMIFS(tblMov[Egreso],tblMov[Fecha],"&lt;="&amp;tblMov[[#This Row],[Fecha]]))</f>
        <v/>
      </c>
      <c r="I48" s="17"/>
      <c r="J48" s="17"/>
      <c r="K48" s="17"/>
      <c r="L48" s="17"/>
      <c r="M48" s="17"/>
      <c r="N48" s="17"/>
      <c r="O48" s="17"/>
      <c r="P48" s="17"/>
      <c r="Q48" s="17"/>
    </row>
    <row r="49" spans="1:17" ht="18" customHeight="1" x14ac:dyDescent="0.25">
      <c r="A49" s="17"/>
      <c r="B49" s="4"/>
      <c r="C49" s="21"/>
      <c r="D49" s="22"/>
      <c r="E49" s="22"/>
      <c r="F49" s="23"/>
      <c r="G49" s="23"/>
      <c r="H49" s="24" t="str">
        <f>IF(tblMov[[#This Row],[Fecha]]="","",SaldoInicial+SUMIFS(tblMov[Ingreso],tblMov[Fecha],"&lt;="&amp;tblMov[[#This Row],[Fecha]])-SUMIFS(tblMov[Egreso],tblMov[Fecha],"&lt;="&amp;tblMov[[#This Row],[Fecha]]))</f>
        <v/>
      </c>
      <c r="I49" s="17"/>
      <c r="J49" s="17"/>
      <c r="K49" s="17"/>
      <c r="L49" s="17"/>
      <c r="M49" s="17"/>
      <c r="N49" s="17"/>
      <c r="O49" s="17"/>
      <c r="P49" s="17"/>
      <c r="Q49" s="17"/>
    </row>
    <row r="50" spans="1:17" ht="18" customHeight="1" x14ac:dyDescent="0.25">
      <c r="A50" s="17"/>
      <c r="B50" s="4"/>
      <c r="C50" s="21"/>
      <c r="D50" s="22"/>
      <c r="E50" s="22"/>
      <c r="F50" s="23"/>
      <c r="G50" s="23"/>
      <c r="H50" s="24" t="str">
        <f>IF(tblMov[[#This Row],[Fecha]]="","",SaldoInicial+SUMIFS(tblMov[Ingreso],tblMov[Fecha],"&lt;="&amp;tblMov[[#This Row],[Fecha]])-SUMIFS(tblMov[Egreso],tblMov[Fecha],"&lt;="&amp;tblMov[[#This Row],[Fecha]]))</f>
        <v/>
      </c>
      <c r="I50" s="17"/>
      <c r="J50" s="17"/>
      <c r="K50" s="17"/>
      <c r="L50" s="17"/>
      <c r="M50" s="17"/>
      <c r="N50" s="17"/>
      <c r="O50" s="17"/>
      <c r="P50" s="17"/>
      <c r="Q50" s="17"/>
    </row>
    <row r="51" spans="1:17" ht="18" customHeight="1" x14ac:dyDescent="0.25">
      <c r="A51" s="17"/>
      <c r="B51" s="4"/>
      <c r="C51" s="21"/>
      <c r="D51" s="22"/>
      <c r="E51" s="22"/>
      <c r="F51" s="23"/>
      <c r="G51" s="23"/>
      <c r="H51" s="24" t="str">
        <f>IF(tblMov[[#This Row],[Fecha]]="","",SaldoInicial+SUMIFS(tblMov[Ingreso],tblMov[Fecha],"&lt;="&amp;tblMov[[#This Row],[Fecha]])-SUMIFS(tblMov[Egreso],tblMov[Fecha],"&lt;="&amp;tblMov[[#This Row],[Fecha]]))</f>
        <v/>
      </c>
      <c r="I51" s="17"/>
      <c r="J51" s="17"/>
      <c r="K51" s="17"/>
      <c r="L51" s="17"/>
      <c r="M51" s="17"/>
      <c r="N51" s="17"/>
      <c r="O51" s="17"/>
      <c r="P51" s="17"/>
      <c r="Q51" s="17"/>
    </row>
    <row r="52" spans="1:17" ht="18" customHeight="1" x14ac:dyDescent="0.25">
      <c r="A52" s="17"/>
      <c r="B52" s="4"/>
      <c r="C52" s="21"/>
      <c r="D52" s="22"/>
      <c r="E52" s="22"/>
      <c r="F52" s="23"/>
      <c r="G52" s="23"/>
      <c r="H52" s="24" t="str">
        <f>IF(tblMov[[#This Row],[Fecha]]="","",SaldoInicial+SUMIFS(tblMov[Ingreso],tblMov[Fecha],"&lt;="&amp;tblMov[[#This Row],[Fecha]])-SUMIFS(tblMov[Egreso],tblMov[Fecha],"&lt;="&amp;tblMov[[#This Row],[Fecha]]))</f>
        <v/>
      </c>
      <c r="I52" s="17"/>
      <c r="J52" s="17"/>
      <c r="K52" s="17"/>
      <c r="L52" s="17"/>
      <c r="M52" s="17"/>
      <c r="N52" s="17"/>
      <c r="O52" s="17"/>
      <c r="P52" s="17"/>
      <c r="Q52" s="17"/>
    </row>
    <row r="53" spans="1:17" ht="18" customHeight="1" x14ac:dyDescent="0.25">
      <c r="A53" s="17"/>
      <c r="B53" s="4"/>
      <c r="C53" s="21"/>
      <c r="D53" s="22"/>
      <c r="E53" s="22"/>
      <c r="F53" s="23"/>
      <c r="G53" s="23"/>
      <c r="H53" s="24" t="str">
        <f>IF(tblMov[[#This Row],[Fecha]]="","",SaldoInicial+SUMIFS(tblMov[Ingreso],tblMov[Fecha],"&lt;="&amp;tblMov[[#This Row],[Fecha]])-SUMIFS(tblMov[Egreso],tblMov[Fecha],"&lt;="&amp;tblMov[[#This Row],[Fecha]]))</f>
        <v/>
      </c>
      <c r="I53" s="17"/>
      <c r="J53" s="17"/>
      <c r="K53" s="17"/>
      <c r="L53" s="17"/>
      <c r="M53" s="17"/>
      <c r="N53" s="17"/>
      <c r="O53" s="17"/>
      <c r="P53" s="17"/>
      <c r="Q53" s="17"/>
    </row>
    <row r="54" spans="1:17" ht="18" customHeight="1" x14ac:dyDescent="0.25">
      <c r="A54" s="17"/>
      <c r="B54" s="4"/>
      <c r="C54" s="21"/>
      <c r="D54" s="22"/>
      <c r="E54" s="22"/>
      <c r="F54" s="23"/>
      <c r="G54" s="23"/>
      <c r="H54" s="24" t="str">
        <f>IF(tblMov[[#This Row],[Fecha]]="","",SaldoInicial+SUMIFS(tblMov[Ingreso],tblMov[Fecha],"&lt;="&amp;tblMov[[#This Row],[Fecha]])-SUMIFS(tblMov[Egreso],tblMov[Fecha],"&lt;="&amp;tblMov[[#This Row],[Fecha]]))</f>
        <v/>
      </c>
      <c r="I54" s="17"/>
      <c r="J54" s="17"/>
      <c r="K54" s="17"/>
      <c r="L54" s="17"/>
      <c r="M54" s="17"/>
      <c r="N54" s="17"/>
      <c r="O54" s="17"/>
      <c r="P54" s="17"/>
      <c r="Q54" s="17"/>
    </row>
    <row r="55" spans="1:17" ht="18" customHeight="1" x14ac:dyDescent="0.25">
      <c r="A55" s="17"/>
      <c r="B55" s="4"/>
      <c r="C55" s="21"/>
      <c r="D55" s="22"/>
      <c r="E55" s="22"/>
      <c r="F55" s="23"/>
      <c r="G55" s="23"/>
      <c r="H55" s="24" t="str">
        <f>IF(tblMov[[#This Row],[Fecha]]="","",SaldoInicial+SUMIFS(tblMov[Ingreso],tblMov[Fecha],"&lt;="&amp;tblMov[[#This Row],[Fecha]])-SUMIFS(tblMov[Egreso],tblMov[Fecha],"&lt;="&amp;tblMov[[#This Row],[Fecha]]))</f>
        <v/>
      </c>
      <c r="I55" s="17"/>
      <c r="J55" s="17"/>
      <c r="K55" s="17"/>
      <c r="L55" s="17"/>
      <c r="M55" s="17"/>
      <c r="N55" s="17"/>
      <c r="O55" s="17"/>
      <c r="P55" s="17"/>
      <c r="Q55" s="17"/>
    </row>
    <row r="56" spans="1:17" ht="18" customHeight="1" x14ac:dyDescent="0.25">
      <c r="A56" s="17"/>
      <c r="B56" s="4"/>
      <c r="C56" s="21"/>
      <c r="D56" s="22"/>
      <c r="E56" s="22"/>
      <c r="F56" s="23"/>
      <c r="G56" s="23"/>
      <c r="H56" s="24" t="str">
        <f>IF(tblMov[[#This Row],[Fecha]]="","",SaldoInicial+SUMIFS(tblMov[Ingreso],tblMov[Fecha],"&lt;="&amp;tblMov[[#This Row],[Fecha]])-SUMIFS(tblMov[Egreso],tblMov[Fecha],"&lt;="&amp;tblMov[[#This Row],[Fecha]]))</f>
        <v/>
      </c>
      <c r="I56" s="17"/>
      <c r="J56" s="17"/>
      <c r="K56" s="17"/>
      <c r="L56" s="17"/>
      <c r="M56" s="17"/>
      <c r="N56" s="17"/>
      <c r="O56" s="17"/>
      <c r="P56" s="17"/>
      <c r="Q56" s="17"/>
    </row>
    <row r="57" spans="1:17" ht="18" customHeight="1" x14ac:dyDescent="0.25">
      <c r="A57" s="17"/>
      <c r="B57" s="4"/>
      <c r="C57" s="21"/>
      <c r="D57" s="22"/>
      <c r="E57" s="22"/>
      <c r="F57" s="23"/>
      <c r="G57" s="23"/>
      <c r="H57" s="24" t="str">
        <f>IF(tblMov[[#This Row],[Fecha]]="","",SaldoInicial+SUMIFS(tblMov[Ingreso],tblMov[Fecha],"&lt;="&amp;tblMov[[#This Row],[Fecha]])-SUMIFS(tblMov[Egreso],tblMov[Fecha],"&lt;="&amp;tblMov[[#This Row],[Fecha]]))</f>
        <v/>
      </c>
      <c r="I57" s="17"/>
      <c r="J57" s="17"/>
      <c r="K57" s="17"/>
      <c r="L57" s="17"/>
      <c r="M57" s="17"/>
      <c r="N57" s="17"/>
      <c r="O57" s="17"/>
      <c r="P57" s="17"/>
      <c r="Q57" s="17"/>
    </row>
    <row r="58" spans="1:17" ht="18" customHeight="1" x14ac:dyDescent="0.25">
      <c r="A58" s="17"/>
      <c r="B58" s="4"/>
      <c r="C58" s="21"/>
      <c r="D58" s="22"/>
      <c r="E58" s="22"/>
      <c r="F58" s="23"/>
      <c r="G58" s="23"/>
      <c r="H58" s="24" t="str">
        <f>IF(tblMov[[#This Row],[Fecha]]="","",SaldoInicial+SUMIFS(tblMov[Ingreso],tblMov[Fecha],"&lt;="&amp;tblMov[[#This Row],[Fecha]])-SUMIFS(tblMov[Egreso],tblMov[Fecha],"&lt;="&amp;tblMov[[#This Row],[Fecha]]))</f>
        <v/>
      </c>
      <c r="I58" s="17"/>
      <c r="J58" s="17"/>
      <c r="K58" s="17"/>
      <c r="L58" s="17"/>
      <c r="M58" s="17"/>
      <c r="N58" s="17"/>
      <c r="O58" s="17"/>
      <c r="P58" s="17"/>
      <c r="Q58" s="17"/>
    </row>
    <row r="59" spans="1:17" ht="18" customHeight="1" x14ac:dyDescent="0.25">
      <c r="A59" s="17"/>
      <c r="B59" s="4"/>
      <c r="C59" s="21"/>
      <c r="D59" s="22"/>
      <c r="E59" s="22"/>
      <c r="F59" s="23"/>
      <c r="G59" s="23"/>
      <c r="H59" s="24" t="str">
        <f>IF(tblMov[[#This Row],[Fecha]]="","",SaldoInicial+SUMIFS(tblMov[Ingreso],tblMov[Fecha],"&lt;="&amp;tblMov[[#This Row],[Fecha]])-SUMIFS(tblMov[Egreso],tblMov[Fecha],"&lt;="&amp;tblMov[[#This Row],[Fecha]]))</f>
        <v/>
      </c>
      <c r="I59" s="17"/>
      <c r="J59" s="17"/>
      <c r="K59" s="17"/>
      <c r="L59" s="17"/>
      <c r="M59" s="17"/>
      <c r="N59" s="17"/>
      <c r="O59" s="17"/>
      <c r="P59" s="17"/>
      <c r="Q59" s="17"/>
    </row>
    <row r="60" spans="1:17" ht="18" customHeight="1" x14ac:dyDescent="0.25">
      <c r="A60" s="17"/>
      <c r="B60" s="4"/>
      <c r="C60" s="21"/>
      <c r="D60" s="22"/>
      <c r="E60" s="22"/>
      <c r="F60" s="23"/>
      <c r="G60" s="23"/>
      <c r="H60" s="24" t="str">
        <f>IF(tblMov[[#This Row],[Fecha]]="","",SaldoInicial+SUMIFS(tblMov[Ingreso],tblMov[Fecha],"&lt;="&amp;tblMov[[#This Row],[Fecha]])-SUMIFS(tblMov[Egreso],tblMov[Fecha],"&lt;="&amp;tblMov[[#This Row],[Fecha]]))</f>
        <v/>
      </c>
      <c r="I60" s="17"/>
      <c r="J60" s="17"/>
      <c r="K60" s="17"/>
      <c r="L60" s="17"/>
      <c r="M60" s="17"/>
      <c r="N60" s="17"/>
      <c r="O60" s="17"/>
      <c r="P60" s="17"/>
      <c r="Q60" s="17"/>
    </row>
    <row r="61" spans="1:17" ht="18" customHeight="1" x14ac:dyDescent="0.25">
      <c r="A61" s="17"/>
      <c r="B61" s="4"/>
      <c r="C61" s="21"/>
      <c r="D61" s="22"/>
      <c r="E61" s="22"/>
      <c r="F61" s="23"/>
      <c r="G61" s="23"/>
      <c r="H61" s="24" t="str">
        <f>IF(tblMov[[#This Row],[Fecha]]="","",SaldoInicial+SUMIFS(tblMov[Ingreso],tblMov[Fecha],"&lt;="&amp;tblMov[[#This Row],[Fecha]])-SUMIFS(tblMov[Egreso],tblMov[Fecha],"&lt;="&amp;tblMov[[#This Row],[Fecha]]))</f>
        <v/>
      </c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18" customHeight="1" x14ac:dyDescent="0.25">
      <c r="A62" s="17"/>
      <c r="B62" s="4"/>
      <c r="C62" s="21"/>
      <c r="D62" s="22"/>
      <c r="E62" s="22"/>
      <c r="F62" s="23"/>
      <c r="G62" s="23"/>
      <c r="H62" s="24" t="str">
        <f>IF(tblMov[[#This Row],[Fecha]]="","",SaldoInicial+SUMIFS(tblMov[Ingreso],tblMov[Fecha],"&lt;="&amp;tblMov[[#This Row],[Fecha]])-SUMIFS(tblMov[Egreso],tblMov[Fecha],"&lt;="&amp;tblMov[[#This Row],[Fecha]]))</f>
        <v/>
      </c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18" customHeight="1" x14ac:dyDescent="0.25">
      <c r="A63" s="17"/>
      <c r="B63" s="4"/>
      <c r="C63" s="21"/>
      <c r="D63" s="22"/>
      <c r="E63" s="22"/>
      <c r="F63" s="23"/>
      <c r="G63" s="23"/>
      <c r="H63" s="24" t="str">
        <f>IF(tblMov[[#This Row],[Fecha]]="","",SaldoInicial+SUMIFS(tblMov[Ingreso],tblMov[Fecha],"&lt;="&amp;tblMov[[#This Row],[Fecha]])-SUMIFS(tblMov[Egreso],tblMov[Fecha],"&lt;="&amp;tblMov[[#This Row],[Fecha]]))</f>
        <v/>
      </c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18" customHeight="1" x14ac:dyDescent="0.25">
      <c r="A64" s="17"/>
      <c r="B64" s="4"/>
      <c r="C64" s="21"/>
      <c r="D64" s="22"/>
      <c r="E64" s="22"/>
      <c r="F64" s="23"/>
      <c r="G64" s="23"/>
      <c r="H64" s="24" t="str">
        <f>IF(tblMov[[#This Row],[Fecha]]="","",SaldoInicial+SUMIFS(tblMov[Ingreso],tblMov[Fecha],"&lt;="&amp;tblMov[[#This Row],[Fecha]])-SUMIFS(tblMov[Egreso],tblMov[Fecha],"&lt;="&amp;tblMov[[#This Row],[Fecha]]))</f>
        <v/>
      </c>
      <c r="I64" s="17"/>
      <c r="J64" s="17"/>
      <c r="K64" s="17"/>
      <c r="L64" s="17"/>
      <c r="M64" s="17"/>
      <c r="N64" s="17"/>
      <c r="O64" s="17"/>
      <c r="P64" s="17"/>
      <c r="Q64" s="17"/>
    </row>
    <row r="65" spans="1:17" ht="18" customHeight="1" x14ac:dyDescent="0.25">
      <c r="A65" s="17"/>
      <c r="B65" s="4"/>
      <c r="C65" s="21"/>
      <c r="D65" s="22"/>
      <c r="E65" s="22"/>
      <c r="F65" s="23"/>
      <c r="G65" s="23"/>
      <c r="H65" s="24" t="str">
        <f>IF(tblMov[[#This Row],[Fecha]]="","",SaldoInicial+SUMIFS(tblMov[Ingreso],tblMov[Fecha],"&lt;="&amp;tblMov[[#This Row],[Fecha]])-SUMIFS(tblMov[Egreso],tblMov[Fecha],"&lt;="&amp;tblMov[[#This Row],[Fecha]]))</f>
        <v/>
      </c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18" customHeight="1" x14ac:dyDescent="0.25">
      <c r="A66" s="17"/>
      <c r="B66" s="4"/>
      <c r="C66" s="21"/>
      <c r="D66" s="22"/>
      <c r="E66" s="22"/>
      <c r="F66" s="23"/>
      <c r="G66" s="23"/>
      <c r="H66" s="24" t="str">
        <f>IF(tblMov[[#This Row],[Fecha]]="","",SaldoInicial+SUMIFS(tblMov[Ingreso],tblMov[Fecha],"&lt;="&amp;tblMov[[#This Row],[Fecha]])-SUMIFS(tblMov[Egreso],tblMov[Fecha],"&lt;="&amp;tblMov[[#This Row],[Fecha]]))</f>
        <v/>
      </c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18" customHeight="1" x14ac:dyDescent="0.25">
      <c r="A67" s="17"/>
      <c r="B67" s="4"/>
      <c r="C67" s="21"/>
      <c r="D67" s="22"/>
      <c r="E67" s="22"/>
      <c r="F67" s="23"/>
      <c r="G67" s="23"/>
      <c r="H67" s="24"/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18" customHeight="1" x14ac:dyDescent="0.25">
      <c r="A68" s="17"/>
      <c r="B68" s="4"/>
      <c r="C68" s="21"/>
      <c r="D68" s="22"/>
      <c r="E68" s="22"/>
      <c r="F68" s="23"/>
      <c r="G68" s="23"/>
      <c r="H68" s="24"/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18" customHeight="1" x14ac:dyDescent="0.25">
      <c r="A69" s="17"/>
      <c r="B69" s="4"/>
      <c r="C69" s="21"/>
      <c r="D69" s="22"/>
      <c r="E69" s="22"/>
      <c r="F69" s="23"/>
      <c r="G69" s="23"/>
      <c r="H69" s="24"/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18" customHeight="1" x14ac:dyDescent="0.25">
      <c r="A70" s="17"/>
      <c r="B70" s="4"/>
      <c r="C70" s="21"/>
      <c r="D70" s="22"/>
      <c r="E70" s="22"/>
      <c r="F70" s="23"/>
      <c r="G70" s="23"/>
      <c r="H70" s="24"/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18" customHeight="1" x14ac:dyDescent="0.25">
      <c r="A71" s="17"/>
      <c r="B71" s="4"/>
      <c r="C71" s="21"/>
      <c r="D71" s="22"/>
      <c r="E71" s="22"/>
      <c r="F71" s="23"/>
      <c r="G71" s="23"/>
      <c r="H71" s="24"/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18" customHeight="1" x14ac:dyDescent="0.25">
      <c r="A72" s="17"/>
      <c r="B72" s="4"/>
      <c r="C72" s="21"/>
      <c r="D72" s="22"/>
      <c r="E72" s="22"/>
      <c r="F72" s="23"/>
      <c r="G72" s="23"/>
      <c r="H72" s="24"/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18" customHeight="1" x14ac:dyDescent="0.25">
      <c r="A73" s="17"/>
      <c r="B73" s="4"/>
      <c r="C73" s="21"/>
      <c r="D73" s="22"/>
      <c r="E73" s="22"/>
      <c r="F73" s="23"/>
      <c r="G73" s="23"/>
      <c r="H73" s="24"/>
      <c r="I73" s="17"/>
      <c r="J73" s="17"/>
      <c r="K73" s="17"/>
      <c r="L73" s="17"/>
      <c r="M73" s="17"/>
      <c r="N73" s="17"/>
      <c r="O73" s="17"/>
      <c r="P73" s="17"/>
      <c r="Q73" s="17"/>
    </row>
    <row r="74" spans="1:17" ht="18" customHeight="1" x14ac:dyDescent="0.25">
      <c r="A74" s="17"/>
      <c r="B74" s="4"/>
      <c r="C74" s="21"/>
      <c r="D74" s="22"/>
      <c r="E74" s="22"/>
      <c r="F74" s="23"/>
      <c r="G74" s="23"/>
      <c r="H74" s="24"/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18" customHeight="1" x14ac:dyDescent="0.25">
      <c r="A75" s="17"/>
      <c r="B75" s="4"/>
      <c r="C75" s="21"/>
      <c r="D75" s="22"/>
      <c r="E75" s="22"/>
      <c r="F75" s="23"/>
      <c r="G75" s="23"/>
      <c r="H75" s="24"/>
      <c r="I75" s="17"/>
      <c r="J75" s="17"/>
      <c r="K75" s="17"/>
      <c r="L75" s="17"/>
      <c r="M75" s="17"/>
      <c r="N75" s="17"/>
      <c r="O75" s="17"/>
      <c r="P75" s="17"/>
      <c r="Q75" s="17"/>
    </row>
    <row r="76" spans="1:17" ht="18" customHeight="1" x14ac:dyDescent="0.25">
      <c r="A76" s="17"/>
      <c r="B76" s="4"/>
      <c r="C76" s="21"/>
      <c r="D76" s="22"/>
      <c r="E76" s="22"/>
      <c r="F76" s="23"/>
      <c r="G76" s="23"/>
      <c r="H76" s="24"/>
      <c r="I76" s="17"/>
      <c r="J76" s="17"/>
      <c r="K76" s="17"/>
      <c r="L76" s="17"/>
      <c r="M76" s="17"/>
      <c r="N76" s="17"/>
      <c r="O76" s="17"/>
      <c r="P76" s="17"/>
      <c r="Q76" s="17"/>
    </row>
    <row r="77" spans="1:17" ht="18" customHeight="1" x14ac:dyDescent="0.25">
      <c r="A77" s="17"/>
      <c r="B77" s="4"/>
      <c r="C77" s="21"/>
      <c r="D77" s="22"/>
      <c r="E77" s="22"/>
      <c r="F77" s="23"/>
      <c r="G77" s="23"/>
      <c r="H77" s="24"/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18" customHeight="1" x14ac:dyDescent="0.25">
      <c r="A78" s="17"/>
      <c r="B78" s="4"/>
      <c r="C78" s="21"/>
      <c r="D78" s="22"/>
      <c r="E78" s="22"/>
      <c r="F78" s="23"/>
      <c r="G78" s="23"/>
      <c r="H78" s="24"/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18" customHeight="1" x14ac:dyDescent="0.25">
      <c r="A79" s="17"/>
      <c r="B79" s="4"/>
      <c r="C79" s="21"/>
      <c r="D79" s="22"/>
      <c r="E79" s="22"/>
      <c r="F79" s="23"/>
      <c r="G79" s="23"/>
      <c r="H79" s="24"/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18" customHeight="1" x14ac:dyDescent="0.25">
      <c r="A80" s="17"/>
      <c r="B80" s="4"/>
      <c r="C80" s="21"/>
      <c r="D80" s="22"/>
      <c r="E80" s="22"/>
      <c r="F80" s="23"/>
      <c r="G80" s="23"/>
      <c r="H80" s="24"/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18" customHeight="1" x14ac:dyDescent="0.25">
      <c r="A81" s="17"/>
      <c r="B81" s="4"/>
      <c r="C81" s="21"/>
      <c r="D81" s="22"/>
      <c r="E81" s="22"/>
      <c r="F81" s="23"/>
      <c r="G81" s="23"/>
      <c r="H81" s="24"/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18" customHeight="1" x14ac:dyDescent="0.25">
      <c r="A82" s="17"/>
      <c r="B82" s="4"/>
      <c r="C82" s="21"/>
      <c r="D82" s="22"/>
      <c r="E82" s="22"/>
      <c r="F82" s="23"/>
      <c r="G82" s="23"/>
      <c r="H82" s="24"/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18" customHeight="1" x14ac:dyDescent="0.25">
      <c r="A83" s="17"/>
      <c r="B83" s="4"/>
      <c r="C83" s="21"/>
      <c r="D83" s="22"/>
      <c r="E83" s="22"/>
      <c r="F83" s="23"/>
      <c r="G83" s="23"/>
      <c r="H83" s="24"/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18" customHeight="1" x14ac:dyDescent="0.25">
      <c r="A84" s="17"/>
      <c r="B84" s="4"/>
      <c r="C84" s="21"/>
      <c r="D84" s="22"/>
      <c r="E84" s="22"/>
      <c r="F84" s="23"/>
      <c r="G84" s="23"/>
      <c r="H84" s="24"/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18" customHeight="1" x14ac:dyDescent="0.25">
      <c r="A85" s="17"/>
      <c r="B85" s="4"/>
      <c r="C85" s="21"/>
      <c r="D85" s="22"/>
      <c r="E85" s="22"/>
      <c r="F85" s="23"/>
      <c r="G85" s="23"/>
      <c r="H85" s="24"/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18" customHeight="1" x14ac:dyDescent="0.25">
      <c r="A86" s="17"/>
      <c r="B86" s="4"/>
      <c r="C86" s="21"/>
      <c r="D86" s="22"/>
      <c r="E86" s="22"/>
      <c r="F86" s="23"/>
      <c r="G86" s="23"/>
      <c r="H86" s="24"/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18" customHeight="1" x14ac:dyDescent="0.25">
      <c r="A87" s="17"/>
      <c r="B87" s="4"/>
      <c r="C87" s="21"/>
      <c r="D87" s="22"/>
      <c r="E87" s="22"/>
      <c r="F87" s="23"/>
      <c r="G87" s="23"/>
      <c r="H87" s="24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8" customHeight="1" x14ac:dyDescent="0.25">
      <c r="A88" s="17"/>
      <c r="B88" s="4"/>
      <c r="C88" s="21"/>
      <c r="D88" s="22"/>
      <c r="E88" s="22"/>
      <c r="F88" s="23"/>
      <c r="G88" s="23"/>
      <c r="H88" s="24"/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18" customHeight="1" x14ac:dyDescent="0.25">
      <c r="A89" s="17"/>
      <c r="B89" s="4"/>
      <c r="C89" s="21"/>
      <c r="D89" s="22"/>
      <c r="E89" s="22"/>
      <c r="F89" s="23"/>
      <c r="G89" s="23"/>
      <c r="H89" s="24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18" customHeight="1" x14ac:dyDescent="0.25">
      <c r="A90" s="17"/>
      <c r="B90" s="4"/>
      <c r="C90" s="21"/>
      <c r="D90" s="22"/>
      <c r="E90" s="22"/>
      <c r="F90" s="23"/>
      <c r="G90" s="23"/>
      <c r="H90" s="24"/>
      <c r="I90" s="17"/>
      <c r="J90" s="17"/>
      <c r="K90" s="17"/>
      <c r="L90" s="17"/>
      <c r="M90" s="17"/>
      <c r="N90" s="17"/>
      <c r="O90" s="17"/>
      <c r="P90" s="17"/>
      <c r="Q90" s="17"/>
    </row>
    <row r="91" spans="1:17" ht="18" customHeight="1" x14ac:dyDescent="0.25">
      <c r="A91" s="17"/>
      <c r="B91" s="4"/>
      <c r="C91" s="21"/>
      <c r="D91" s="22"/>
      <c r="E91" s="22"/>
      <c r="F91" s="23"/>
      <c r="G91" s="23"/>
      <c r="H91" s="24"/>
      <c r="I91" s="17"/>
      <c r="J91" s="17"/>
      <c r="K91" s="17"/>
      <c r="L91" s="17"/>
      <c r="M91" s="17"/>
      <c r="N91" s="17"/>
      <c r="O91" s="17"/>
      <c r="P91" s="17"/>
      <c r="Q91" s="17"/>
    </row>
    <row r="92" spans="1:17" ht="18" customHeight="1" x14ac:dyDescent="0.25">
      <c r="A92" s="17"/>
      <c r="B92" s="4"/>
      <c r="C92" s="21"/>
      <c r="D92" s="22"/>
      <c r="E92" s="22"/>
      <c r="F92" s="23"/>
      <c r="G92" s="23"/>
      <c r="H92" s="24"/>
      <c r="I92" s="17"/>
      <c r="J92" s="17"/>
      <c r="K92" s="17"/>
      <c r="L92" s="17"/>
      <c r="M92" s="17"/>
      <c r="N92" s="17"/>
      <c r="O92" s="17"/>
      <c r="P92" s="17"/>
      <c r="Q92" s="17"/>
    </row>
    <row r="93" spans="1:17" ht="18" customHeight="1" x14ac:dyDescent="0.25">
      <c r="A93" s="17"/>
      <c r="B93" s="4"/>
      <c r="C93" s="21"/>
      <c r="D93" s="22"/>
      <c r="E93" s="22"/>
      <c r="F93" s="23"/>
      <c r="G93" s="23"/>
      <c r="H93" s="24"/>
      <c r="I93" s="17"/>
      <c r="J93" s="17"/>
      <c r="K93" s="17"/>
      <c r="L93" s="17"/>
      <c r="M93" s="17"/>
      <c r="N93" s="17"/>
      <c r="O93" s="17"/>
      <c r="P93" s="17"/>
      <c r="Q93" s="17"/>
    </row>
    <row r="94" spans="1:17" ht="18" customHeight="1" x14ac:dyDescent="0.25">
      <c r="A94" s="17"/>
      <c r="B94" s="4"/>
      <c r="C94" s="21"/>
      <c r="D94" s="22"/>
      <c r="E94" s="22"/>
      <c r="F94" s="23"/>
      <c r="G94" s="23"/>
      <c r="H94" s="24"/>
      <c r="I94" s="17"/>
      <c r="J94" s="17"/>
      <c r="K94" s="17"/>
      <c r="L94" s="17"/>
      <c r="M94" s="17"/>
      <c r="N94" s="17"/>
      <c r="O94" s="17"/>
      <c r="P94" s="17"/>
      <c r="Q94" s="17"/>
    </row>
    <row r="95" spans="1:17" ht="18" customHeight="1" x14ac:dyDescent="0.25">
      <c r="A95" s="17"/>
      <c r="B95" s="4"/>
      <c r="C95" s="21"/>
      <c r="D95" s="22"/>
      <c r="E95" s="22"/>
      <c r="F95" s="23"/>
      <c r="G95" s="23"/>
      <c r="H95" s="24"/>
      <c r="I95" s="17"/>
      <c r="J95" s="17"/>
      <c r="K95" s="17"/>
      <c r="L95" s="17"/>
      <c r="M95" s="17"/>
      <c r="N95" s="17"/>
      <c r="O95" s="17"/>
      <c r="P95" s="17"/>
      <c r="Q95" s="17"/>
    </row>
    <row r="96" spans="1:17" ht="18" customHeight="1" x14ac:dyDescent="0.25">
      <c r="A96" s="17"/>
      <c r="B96" s="4"/>
      <c r="C96" s="21"/>
      <c r="D96" s="22"/>
      <c r="E96" s="22"/>
      <c r="F96" s="23"/>
      <c r="G96" s="23"/>
      <c r="H96" s="24"/>
      <c r="I96" s="17"/>
      <c r="J96" s="17"/>
      <c r="K96" s="17"/>
      <c r="L96" s="17"/>
      <c r="M96" s="17"/>
      <c r="N96" s="17"/>
      <c r="O96" s="17"/>
      <c r="P96" s="17"/>
      <c r="Q96" s="17"/>
    </row>
    <row r="97" spans="1:17" ht="18" customHeight="1" x14ac:dyDescent="0.25">
      <c r="A97" s="17"/>
      <c r="B97" s="4"/>
      <c r="C97" s="21"/>
      <c r="D97" s="22"/>
      <c r="E97" s="22"/>
      <c r="F97" s="23"/>
      <c r="G97" s="23"/>
      <c r="H97" s="24"/>
      <c r="I97" s="17"/>
      <c r="J97" s="17"/>
      <c r="K97" s="17"/>
      <c r="L97" s="17"/>
      <c r="M97" s="17"/>
      <c r="N97" s="17"/>
      <c r="O97" s="17"/>
      <c r="P97" s="17"/>
      <c r="Q97" s="17"/>
    </row>
    <row r="98" spans="1:17" ht="18" customHeight="1" x14ac:dyDescent="0.25">
      <c r="A98" s="17"/>
      <c r="B98" s="4"/>
      <c r="C98" s="21"/>
      <c r="D98" s="22"/>
      <c r="E98" s="22"/>
      <c r="F98" s="23"/>
      <c r="G98" s="23"/>
      <c r="H98" s="24"/>
      <c r="I98" s="17"/>
      <c r="J98" s="17"/>
      <c r="K98" s="17"/>
      <c r="L98" s="17"/>
      <c r="M98" s="17"/>
      <c r="N98" s="17"/>
      <c r="O98" s="17"/>
      <c r="P98" s="17"/>
      <c r="Q98" s="17"/>
    </row>
    <row r="99" spans="1:17" ht="18" customHeight="1" x14ac:dyDescent="0.25">
      <c r="A99" s="17"/>
      <c r="B99" s="4"/>
      <c r="C99" s="21"/>
      <c r="D99" s="22"/>
      <c r="E99" s="22"/>
      <c r="F99" s="23"/>
      <c r="G99" s="23"/>
      <c r="H99" s="24"/>
      <c r="I99" s="17"/>
      <c r="J99" s="17"/>
      <c r="K99" s="17"/>
      <c r="L99" s="17"/>
      <c r="M99" s="17"/>
      <c r="N99" s="17"/>
      <c r="O99" s="17"/>
      <c r="P99" s="17"/>
      <c r="Q99" s="17"/>
    </row>
    <row r="100" spans="1:17" ht="18" customHeight="1" x14ac:dyDescent="0.25">
      <c r="A100" s="17"/>
      <c r="B100" s="4"/>
      <c r="C100" s="21"/>
      <c r="D100" s="22"/>
      <c r="E100" s="22"/>
      <c r="F100" s="23"/>
      <c r="G100" s="23"/>
      <c r="H100" s="24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18" customHeight="1" x14ac:dyDescent="0.25">
      <c r="A101" s="17"/>
      <c r="B101" s="4"/>
      <c r="C101" s="21"/>
      <c r="D101" s="22"/>
      <c r="E101" s="22"/>
      <c r="F101" s="23"/>
      <c r="G101" s="23"/>
      <c r="H101" s="24"/>
      <c r="I101" s="17"/>
      <c r="J101" s="17"/>
      <c r="K101" s="17"/>
      <c r="L101" s="17"/>
      <c r="M101" s="17"/>
      <c r="N101" s="17"/>
      <c r="O101" s="17"/>
      <c r="P101" s="17"/>
      <c r="Q101" s="17"/>
    </row>
    <row r="102" spans="1:17" ht="18" customHeight="1" x14ac:dyDescent="0.25">
      <c r="A102" s="17"/>
      <c r="B102" s="4"/>
      <c r="C102" s="21"/>
      <c r="D102" s="22"/>
      <c r="E102" s="22"/>
      <c r="F102" s="23"/>
      <c r="G102" s="23"/>
      <c r="H102" s="24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1:17" ht="18" customHeight="1" x14ac:dyDescent="0.25">
      <c r="A103" s="17"/>
      <c r="B103" s="4"/>
      <c r="C103" s="21"/>
      <c r="D103" s="22"/>
      <c r="E103" s="22"/>
      <c r="F103" s="23"/>
      <c r="G103" s="23"/>
      <c r="H103" s="24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ht="18" customHeight="1" x14ac:dyDescent="0.25">
      <c r="A104" s="17"/>
      <c r="B104" s="4"/>
      <c r="C104" s="21"/>
      <c r="D104" s="22"/>
      <c r="E104" s="22"/>
      <c r="F104" s="23"/>
      <c r="G104" s="23"/>
      <c r="H104" s="24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1:17" ht="18" customHeight="1" x14ac:dyDescent="0.25">
      <c r="A105" s="17"/>
      <c r="B105" s="4"/>
      <c r="C105" s="21"/>
      <c r="D105" s="22"/>
      <c r="E105" s="22"/>
      <c r="F105" s="23"/>
      <c r="G105" s="23"/>
      <c r="H105" s="24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1:17" ht="18" customHeight="1" x14ac:dyDescent="0.25">
      <c r="A106" s="17"/>
      <c r="B106" s="4"/>
      <c r="C106" s="21"/>
      <c r="D106" s="22"/>
      <c r="E106" s="22"/>
      <c r="F106" s="23"/>
      <c r="G106" s="23"/>
      <c r="H106" s="24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1:17" ht="18" customHeight="1" x14ac:dyDescent="0.25">
      <c r="A107" s="17"/>
      <c r="B107" s="4"/>
      <c r="C107" s="21"/>
      <c r="D107" s="22"/>
      <c r="E107" s="22"/>
      <c r="F107" s="23"/>
      <c r="G107" s="23"/>
      <c r="H107" s="24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ht="18" customHeight="1" x14ac:dyDescent="0.25">
      <c r="A108" s="17"/>
      <c r="B108" s="4"/>
      <c r="C108" s="21"/>
      <c r="D108" s="22"/>
      <c r="E108" s="22"/>
      <c r="F108" s="23"/>
      <c r="G108" s="23"/>
      <c r="H108" s="24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1:17" ht="18" customHeight="1" x14ac:dyDescent="0.25">
      <c r="A109" s="17"/>
      <c r="B109" s="4"/>
      <c r="C109" s="21"/>
      <c r="D109" s="22"/>
      <c r="E109" s="22"/>
      <c r="F109" s="23"/>
      <c r="G109" s="23"/>
      <c r="H109" s="24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1:17" ht="18" customHeight="1" x14ac:dyDescent="0.25">
      <c r="A110" s="17"/>
      <c r="B110" s="4"/>
      <c r="C110" s="21"/>
      <c r="D110" s="22"/>
      <c r="E110" s="22"/>
      <c r="F110" s="23"/>
      <c r="G110" s="23"/>
      <c r="H110" s="24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ht="18" customHeight="1" x14ac:dyDescent="0.25">
      <c r="A111" s="17"/>
      <c r="B111" s="4"/>
      <c r="C111" s="21"/>
      <c r="D111" s="22"/>
      <c r="E111" s="22"/>
      <c r="F111" s="23"/>
      <c r="G111" s="23"/>
      <c r="H111" s="24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1:17" ht="18" customHeight="1" x14ac:dyDescent="0.25">
      <c r="A112" s="17"/>
      <c r="B112" s="4"/>
      <c r="C112" s="21"/>
      <c r="D112" s="22"/>
      <c r="E112" s="22"/>
      <c r="F112" s="23"/>
      <c r="G112" s="23"/>
      <c r="H112" s="24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1:17" ht="18" customHeight="1" x14ac:dyDescent="0.25">
      <c r="A113" s="17"/>
      <c r="B113" s="4"/>
      <c r="C113" s="21"/>
      <c r="D113" s="22"/>
      <c r="E113" s="22"/>
      <c r="F113" s="23"/>
      <c r="G113" s="23"/>
      <c r="H113" s="24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7" ht="18" customHeight="1" x14ac:dyDescent="0.25">
      <c r="A114" s="17"/>
      <c r="B114" s="4"/>
      <c r="C114" s="21"/>
      <c r="D114" s="22"/>
      <c r="E114" s="22"/>
      <c r="F114" s="23"/>
      <c r="G114" s="23"/>
      <c r="H114" s="24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7" ht="18" customHeight="1" x14ac:dyDescent="0.25">
      <c r="A115" s="17"/>
      <c r="B115" s="4"/>
      <c r="C115" s="21"/>
      <c r="D115" s="22"/>
      <c r="E115" s="22"/>
      <c r="F115" s="23"/>
      <c r="G115" s="23"/>
      <c r="H115" s="24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17" ht="18" customHeight="1" x14ac:dyDescent="0.25">
      <c r="A116" s="17"/>
      <c r="B116" s="4"/>
      <c r="C116" s="21"/>
      <c r="D116" s="22"/>
      <c r="E116" s="22"/>
      <c r="F116" s="23"/>
      <c r="G116" s="23"/>
      <c r="H116" s="24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1:17" ht="18" customHeight="1" x14ac:dyDescent="0.25">
      <c r="A117" s="17"/>
      <c r="B117" s="4"/>
      <c r="C117" s="21"/>
      <c r="D117" s="22"/>
      <c r="E117" s="22"/>
      <c r="F117" s="23"/>
      <c r="G117" s="23"/>
      <c r="H117" s="24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17" ht="18" customHeight="1" x14ac:dyDescent="0.25">
      <c r="A118" s="17"/>
      <c r="B118" s="4"/>
      <c r="C118" s="21"/>
      <c r="D118" s="22"/>
      <c r="E118" s="22"/>
      <c r="F118" s="23"/>
      <c r="G118" s="23"/>
      <c r="H118" s="24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1:17" ht="18" customHeight="1" x14ac:dyDescent="0.25">
      <c r="A119" s="17"/>
      <c r="B119" s="4"/>
      <c r="C119" s="21"/>
      <c r="D119" s="22"/>
      <c r="E119" s="22"/>
      <c r="F119" s="23"/>
      <c r="G119" s="23"/>
      <c r="H119" s="24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17" ht="18" customHeight="1" x14ac:dyDescent="0.25">
      <c r="A120" s="17"/>
      <c r="B120" s="4"/>
      <c r="C120" s="21"/>
      <c r="D120" s="22"/>
      <c r="E120" s="22"/>
      <c r="F120" s="23"/>
      <c r="G120" s="23"/>
      <c r="H120" s="24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ht="18" customHeight="1" x14ac:dyDescent="0.25">
      <c r="A121" s="17"/>
      <c r="B121" s="4"/>
      <c r="C121" s="21"/>
      <c r="D121" s="22"/>
      <c r="E121" s="22"/>
      <c r="F121" s="23"/>
      <c r="G121" s="23"/>
      <c r="H121" s="24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7" ht="18" customHeight="1" x14ac:dyDescent="0.25">
      <c r="A122" s="17"/>
      <c r="B122" s="4"/>
      <c r="C122" s="21"/>
      <c r="D122" s="22"/>
      <c r="E122" s="22"/>
      <c r="F122" s="23"/>
      <c r="G122" s="23"/>
      <c r="H122" s="24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ht="18" customHeight="1" x14ac:dyDescent="0.25">
      <c r="A123" s="17"/>
      <c r="B123" s="4"/>
      <c r="C123" s="21"/>
      <c r="D123" s="22"/>
      <c r="E123" s="22"/>
      <c r="F123" s="23"/>
      <c r="G123" s="23"/>
      <c r="H123" s="24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18" customHeight="1" x14ac:dyDescent="0.25">
      <c r="A124" s="17"/>
      <c r="B124" s="4"/>
      <c r="C124" s="21"/>
      <c r="D124" s="22"/>
      <c r="E124" s="22"/>
      <c r="F124" s="23"/>
      <c r="G124" s="23"/>
      <c r="H124" s="24"/>
      <c r="I124" s="17"/>
      <c r="J124" s="17"/>
      <c r="K124" s="17"/>
      <c r="L124" s="17"/>
      <c r="M124" s="17"/>
      <c r="N124" s="17"/>
      <c r="O124" s="17"/>
      <c r="P124" s="17"/>
      <c r="Q124" s="17"/>
    </row>
    <row r="125" spans="1:17" ht="18" customHeight="1" x14ac:dyDescent="0.25">
      <c r="A125" s="17"/>
      <c r="B125" s="4"/>
      <c r="C125" s="21"/>
      <c r="D125" s="22"/>
      <c r="E125" s="22"/>
      <c r="F125" s="23"/>
      <c r="G125" s="23"/>
      <c r="H125" s="24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1:17" ht="18" customHeight="1" x14ac:dyDescent="0.25">
      <c r="A126" s="17"/>
      <c r="B126" s="4"/>
      <c r="C126" s="21"/>
      <c r="D126" s="22"/>
      <c r="E126" s="22"/>
      <c r="F126" s="23"/>
      <c r="G126" s="23"/>
      <c r="H126" s="24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ht="18" customHeight="1" x14ac:dyDescent="0.25">
      <c r="A127" s="17"/>
      <c r="B127" s="4"/>
      <c r="C127" s="21"/>
      <c r="D127" s="22"/>
      <c r="E127" s="22"/>
      <c r="F127" s="23"/>
      <c r="G127" s="23"/>
      <c r="H127" s="24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1:17" ht="18" customHeight="1" x14ac:dyDescent="0.25">
      <c r="A128" s="17"/>
      <c r="B128" s="4"/>
      <c r="C128" s="21"/>
      <c r="D128" s="22"/>
      <c r="E128" s="22"/>
      <c r="F128" s="23"/>
      <c r="G128" s="23"/>
      <c r="H128" s="24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ht="18" customHeight="1" x14ac:dyDescent="0.25">
      <c r="A129" s="17"/>
      <c r="B129" s="4"/>
      <c r="C129" s="21"/>
      <c r="D129" s="22"/>
      <c r="E129" s="22"/>
      <c r="F129" s="23"/>
      <c r="G129" s="23"/>
      <c r="H129" s="24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1:17" ht="18" customHeight="1" x14ac:dyDescent="0.25">
      <c r="A130" s="17"/>
      <c r="B130" s="4"/>
      <c r="C130" s="21"/>
      <c r="D130" s="22"/>
      <c r="E130" s="22"/>
      <c r="F130" s="23"/>
      <c r="G130" s="23"/>
      <c r="H130" s="24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ht="18" customHeight="1" x14ac:dyDescent="0.25">
      <c r="A131" s="17"/>
      <c r="B131" s="4"/>
      <c r="C131" s="21"/>
      <c r="D131" s="22"/>
      <c r="E131" s="22"/>
      <c r="F131" s="23"/>
      <c r="G131" s="23"/>
      <c r="H131" s="24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1:17" ht="18" customHeight="1" x14ac:dyDescent="0.25">
      <c r="A132" s="17"/>
      <c r="B132" s="4"/>
      <c r="C132" s="21"/>
      <c r="D132" s="22"/>
      <c r="E132" s="22"/>
      <c r="F132" s="23"/>
      <c r="G132" s="23"/>
      <c r="H132" s="24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1:17" ht="18" customHeight="1" x14ac:dyDescent="0.25">
      <c r="A133" s="17"/>
      <c r="B133" s="4"/>
      <c r="C133" s="21"/>
      <c r="D133" s="22"/>
      <c r="E133" s="22"/>
      <c r="F133" s="23"/>
      <c r="G133" s="23"/>
      <c r="H133" s="24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1:17" ht="18" customHeight="1" x14ac:dyDescent="0.25">
      <c r="A134" s="17"/>
      <c r="B134" s="4"/>
      <c r="C134" s="21"/>
      <c r="D134" s="22"/>
      <c r="E134" s="22"/>
      <c r="F134" s="23"/>
      <c r="G134" s="23"/>
      <c r="H134" s="24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1:17" ht="18" customHeight="1" x14ac:dyDescent="0.25">
      <c r="A135" s="17"/>
      <c r="B135" s="4"/>
      <c r="C135" s="21"/>
      <c r="D135" s="22"/>
      <c r="E135" s="22"/>
      <c r="F135" s="23"/>
      <c r="G135" s="23"/>
      <c r="H135" s="24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18" customHeight="1" x14ac:dyDescent="0.25">
      <c r="A136" s="17"/>
      <c r="B136" s="4"/>
      <c r="C136" s="21"/>
      <c r="D136" s="22"/>
      <c r="E136" s="22"/>
      <c r="F136" s="23"/>
      <c r="G136" s="23"/>
      <c r="H136" s="24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18" customHeight="1" x14ac:dyDescent="0.25">
      <c r="A137" s="17"/>
      <c r="B137" s="4"/>
      <c r="C137" s="21"/>
      <c r="D137" s="22"/>
      <c r="E137" s="22"/>
      <c r="F137" s="23"/>
      <c r="G137" s="23"/>
      <c r="H137" s="24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18" customHeight="1" x14ac:dyDescent="0.25">
      <c r="A138" s="17"/>
      <c r="B138" s="4"/>
      <c r="C138" s="21"/>
      <c r="D138" s="22"/>
      <c r="E138" s="22"/>
      <c r="F138" s="23"/>
      <c r="G138" s="23"/>
      <c r="H138" s="24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18" customHeight="1" x14ac:dyDescent="0.25">
      <c r="A139" s="17"/>
      <c r="B139" s="4"/>
      <c r="C139" s="21"/>
      <c r="D139" s="22"/>
      <c r="E139" s="22"/>
      <c r="F139" s="23"/>
      <c r="G139" s="23"/>
      <c r="H139" s="24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ht="18" customHeight="1" x14ac:dyDescent="0.25">
      <c r="A140" s="17"/>
      <c r="B140" s="4"/>
      <c r="C140" s="21"/>
      <c r="D140" s="22"/>
      <c r="E140" s="22"/>
      <c r="F140" s="23"/>
      <c r="G140" s="23"/>
      <c r="H140" s="24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18" customHeight="1" x14ac:dyDescent="0.25">
      <c r="A141" s="17"/>
      <c r="B141" s="4"/>
      <c r="C141" s="21"/>
      <c r="D141" s="22"/>
      <c r="E141" s="22"/>
      <c r="F141" s="23"/>
      <c r="G141" s="23"/>
      <c r="H141" s="24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18" customHeight="1" x14ac:dyDescent="0.25">
      <c r="A142" s="17"/>
      <c r="B142" s="4"/>
      <c r="C142" s="21"/>
      <c r="D142" s="22"/>
      <c r="E142" s="22"/>
      <c r="F142" s="23"/>
      <c r="G142" s="23"/>
      <c r="H142" s="24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ht="18" customHeight="1" x14ac:dyDescent="0.25">
      <c r="A143" s="17"/>
      <c r="B143" s="4"/>
      <c r="C143" s="21"/>
      <c r="D143" s="22"/>
      <c r="E143" s="22"/>
      <c r="F143" s="23"/>
      <c r="G143" s="23"/>
      <c r="H143" s="24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ht="18" customHeight="1" x14ac:dyDescent="0.25">
      <c r="A144" s="17"/>
      <c r="B144" s="4"/>
      <c r="C144" s="21"/>
      <c r="D144" s="22"/>
      <c r="E144" s="22"/>
      <c r="F144" s="23"/>
      <c r="G144" s="23"/>
      <c r="H144" s="24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1:17" ht="18" customHeight="1" x14ac:dyDescent="0.25">
      <c r="A145" s="17"/>
      <c r="B145" s="4"/>
      <c r="C145" s="21"/>
      <c r="D145" s="22"/>
      <c r="E145" s="22"/>
      <c r="F145" s="23"/>
      <c r="G145" s="23"/>
      <c r="H145" s="24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ht="18" customHeight="1" x14ac:dyDescent="0.25">
      <c r="A146" s="17"/>
      <c r="B146" s="4"/>
      <c r="C146" s="21"/>
      <c r="D146" s="22"/>
      <c r="E146" s="22"/>
      <c r="F146" s="23"/>
      <c r="G146" s="23"/>
      <c r="H146" s="24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ht="18" customHeight="1" x14ac:dyDescent="0.25">
      <c r="A147" s="17"/>
      <c r="B147" s="4"/>
      <c r="C147" s="21"/>
      <c r="D147" s="22"/>
      <c r="E147" s="22"/>
      <c r="F147" s="23"/>
      <c r="G147" s="23"/>
      <c r="H147" s="24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ht="18" customHeight="1" x14ac:dyDescent="0.25">
      <c r="A148" s="17"/>
      <c r="B148" s="4"/>
      <c r="C148" s="21"/>
      <c r="D148" s="22"/>
      <c r="E148" s="22"/>
      <c r="F148" s="23"/>
      <c r="G148" s="23"/>
      <c r="H148" s="24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ht="18" customHeight="1" x14ac:dyDescent="0.25">
      <c r="A149" s="17"/>
      <c r="B149" s="4"/>
      <c r="C149" s="21"/>
      <c r="D149" s="22"/>
      <c r="E149" s="22"/>
      <c r="F149" s="23"/>
      <c r="G149" s="23"/>
      <c r="H149" s="24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ht="18" customHeight="1" x14ac:dyDescent="0.25">
      <c r="A150" s="17"/>
      <c r="B150" s="4"/>
      <c r="C150" s="21"/>
      <c r="D150" s="22"/>
      <c r="E150" s="22"/>
      <c r="F150" s="23"/>
      <c r="G150" s="23"/>
      <c r="H150" s="24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ht="18" customHeight="1" x14ac:dyDescent="0.25">
      <c r="A151" s="17"/>
      <c r="B151" s="4"/>
      <c r="C151" s="21"/>
      <c r="D151" s="22"/>
      <c r="E151" s="22"/>
      <c r="F151" s="23"/>
      <c r="G151" s="23"/>
      <c r="H151" s="24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ht="18" customHeight="1" x14ac:dyDescent="0.25">
      <c r="A152" s="17"/>
      <c r="B152" s="4"/>
      <c r="C152" s="21"/>
      <c r="D152" s="22"/>
      <c r="E152" s="22"/>
      <c r="F152" s="23"/>
      <c r="G152" s="23"/>
      <c r="H152" s="24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ht="18" customHeight="1" x14ac:dyDescent="0.25">
      <c r="A153" s="17"/>
      <c r="B153" s="4"/>
      <c r="C153" s="21"/>
      <c r="D153" s="22"/>
      <c r="E153" s="22"/>
      <c r="F153" s="23"/>
      <c r="G153" s="23"/>
      <c r="H153" s="24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ht="18" customHeight="1" x14ac:dyDescent="0.25">
      <c r="A154" s="17"/>
      <c r="B154" s="4"/>
      <c r="C154" s="21"/>
      <c r="D154" s="22"/>
      <c r="E154" s="22"/>
      <c r="F154" s="23"/>
      <c r="G154" s="23"/>
      <c r="H154" s="24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ht="18" customHeight="1" x14ac:dyDescent="0.25">
      <c r="A155" s="17"/>
      <c r="B155" s="4"/>
      <c r="C155" s="21"/>
      <c r="D155" s="22"/>
      <c r="E155" s="22"/>
      <c r="F155" s="23"/>
      <c r="G155" s="23"/>
      <c r="H155" s="24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ht="18" customHeight="1" x14ac:dyDescent="0.25">
      <c r="A156" s="17"/>
      <c r="B156" s="4"/>
      <c r="C156" s="21"/>
      <c r="D156" s="22"/>
      <c r="E156" s="22"/>
      <c r="F156" s="23"/>
      <c r="G156" s="23"/>
      <c r="H156" s="24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ht="18" customHeight="1" x14ac:dyDescent="0.25">
      <c r="A157" s="17"/>
      <c r="B157" s="4"/>
      <c r="C157" s="21"/>
      <c r="D157" s="22"/>
      <c r="E157" s="22"/>
      <c r="F157" s="23"/>
      <c r="G157" s="23"/>
      <c r="H157" s="24"/>
      <c r="I157" s="17"/>
      <c r="J157" s="17"/>
      <c r="K157" s="17"/>
      <c r="L157" s="17"/>
      <c r="M157" s="17"/>
      <c r="N157" s="17"/>
      <c r="O157" s="17"/>
      <c r="P157" s="17"/>
      <c r="Q157" s="17"/>
    </row>
    <row r="158" spans="1:17" ht="18" customHeight="1" x14ac:dyDescent="0.25">
      <c r="A158" s="17"/>
      <c r="B158" s="4"/>
      <c r="C158" s="21"/>
      <c r="D158" s="22"/>
      <c r="E158" s="22"/>
      <c r="F158" s="23"/>
      <c r="G158" s="23"/>
      <c r="H158" s="24"/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1:17" ht="18" customHeight="1" x14ac:dyDescent="0.25">
      <c r="A159" s="17"/>
      <c r="B159" s="4"/>
      <c r="C159" s="21"/>
      <c r="D159" s="22"/>
      <c r="E159" s="22"/>
      <c r="F159" s="23"/>
      <c r="G159" s="23"/>
      <c r="H159" s="24"/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1:17" ht="18" customHeight="1" x14ac:dyDescent="0.25">
      <c r="A160" s="17"/>
      <c r="B160" s="4"/>
      <c r="C160" s="21"/>
      <c r="D160" s="22"/>
      <c r="E160" s="22"/>
      <c r="F160" s="23"/>
      <c r="G160" s="23"/>
      <c r="H160" s="24"/>
      <c r="I160" s="17"/>
      <c r="J160" s="17"/>
      <c r="K160" s="17"/>
      <c r="L160" s="17"/>
      <c r="M160" s="17"/>
      <c r="N160" s="17"/>
      <c r="O160" s="17"/>
      <c r="P160" s="17"/>
      <c r="Q160" s="17"/>
    </row>
    <row r="161" spans="1:17" ht="18" customHeight="1" x14ac:dyDescent="0.25">
      <c r="A161" s="17"/>
      <c r="B161" s="4"/>
      <c r="C161" s="21"/>
      <c r="D161" s="22"/>
      <c r="E161" s="22"/>
      <c r="F161" s="23"/>
      <c r="G161" s="23"/>
      <c r="H161" s="24"/>
      <c r="I161" s="17"/>
      <c r="J161" s="17"/>
      <c r="K161" s="17"/>
      <c r="L161" s="17"/>
      <c r="M161" s="17"/>
      <c r="N161" s="17"/>
      <c r="O161" s="17"/>
      <c r="P161" s="17"/>
      <c r="Q161" s="17"/>
    </row>
    <row r="162" spans="1:17" ht="18" customHeight="1" x14ac:dyDescent="0.25">
      <c r="A162" s="17"/>
      <c r="B162" s="4"/>
      <c r="C162" s="21"/>
      <c r="D162" s="22"/>
      <c r="E162" s="22"/>
      <c r="F162" s="23"/>
      <c r="G162" s="23"/>
      <c r="H162" s="24"/>
      <c r="I162" s="17"/>
      <c r="J162" s="17"/>
      <c r="K162" s="17"/>
      <c r="L162" s="17"/>
      <c r="M162" s="17"/>
      <c r="N162" s="17"/>
      <c r="O162" s="17"/>
      <c r="P162" s="17"/>
      <c r="Q162" s="17"/>
    </row>
    <row r="163" spans="1:17" ht="18" customHeight="1" x14ac:dyDescent="0.25">
      <c r="A163" s="17"/>
      <c r="B163" s="4"/>
      <c r="C163" s="21"/>
      <c r="D163" s="22"/>
      <c r="E163" s="22"/>
      <c r="F163" s="23"/>
      <c r="G163" s="23"/>
      <c r="H163" s="24"/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1:17" ht="18" customHeight="1" x14ac:dyDescent="0.25">
      <c r="A164" s="17"/>
      <c r="B164" s="4"/>
      <c r="C164" s="21"/>
      <c r="D164" s="22"/>
      <c r="E164" s="22"/>
      <c r="F164" s="23"/>
      <c r="G164" s="23"/>
      <c r="H164" s="24"/>
      <c r="I164" s="17"/>
      <c r="J164" s="17"/>
      <c r="K164" s="17"/>
      <c r="L164" s="17"/>
      <c r="M164" s="17"/>
      <c r="N164" s="17"/>
      <c r="O164" s="17"/>
      <c r="P164" s="17"/>
      <c r="Q164" s="17"/>
    </row>
    <row r="165" spans="1:17" ht="18" customHeight="1" x14ac:dyDescent="0.25">
      <c r="A165" s="17"/>
      <c r="B165" s="4"/>
      <c r="C165" s="21"/>
      <c r="D165" s="22"/>
      <c r="E165" s="22"/>
      <c r="F165" s="23"/>
      <c r="G165" s="23"/>
      <c r="H165" s="24"/>
      <c r="I165" s="17"/>
      <c r="J165" s="17"/>
      <c r="K165" s="17"/>
      <c r="L165" s="17"/>
      <c r="M165" s="17"/>
      <c r="N165" s="17"/>
      <c r="O165" s="17"/>
      <c r="P165" s="17"/>
      <c r="Q165" s="17"/>
    </row>
    <row r="166" spans="1:17" ht="18" customHeight="1" x14ac:dyDescent="0.25">
      <c r="A166" s="17"/>
      <c r="B166" s="4"/>
      <c r="C166" s="21"/>
      <c r="D166" s="22"/>
      <c r="E166" s="22"/>
      <c r="F166" s="23"/>
      <c r="G166" s="23"/>
      <c r="H166" s="24"/>
      <c r="I166" s="17"/>
      <c r="J166" s="17"/>
      <c r="K166" s="17"/>
      <c r="L166" s="17"/>
      <c r="M166" s="17"/>
      <c r="N166" s="17"/>
      <c r="O166" s="17"/>
      <c r="P166" s="17"/>
      <c r="Q166" s="17"/>
    </row>
    <row r="167" spans="1:17" ht="18" customHeight="1" x14ac:dyDescent="0.25">
      <c r="A167" s="17"/>
      <c r="B167" s="4"/>
      <c r="C167" s="21"/>
      <c r="D167" s="22"/>
      <c r="E167" s="22"/>
      <c r="F167" s="23"/>
      <c r="G167" s="23"/>
      <c r="H167" s="24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1:17" ht="18" customHeight="1" x14ac:dyDescent="0.25">
      <c r="A168" s="17"/>
      <c r="B168" s="4"/>
      <c r="C168" s="21"/>
      <c r="D168" s="22"/>
      <c r="E168" s="22"/>
      <c r="F168" s="23"/>
      <c r="G168" s="23"/>
      <c r="H168" s="24"/>
      <c r="I168" s="17"/>
      <c r="J168" s="17"/>
      <c r="K168" s="17"/>
      <c r="L168" s="17"/>
      <c r="M168" s="17"/>
      <c r="N168" s="17"/>
      <c r="O168" s="17"/>
      <c r="P168" s="17"/>
      <c r="Q168" s="17"/>
    </row>
    <row r="169" spans="1:17" ht="18" customHeight="1" x14ac:dyDescent="0.25">
      <c r="A169" s="17"/>
      <c r="B169" s="4"/>
      <c r="C169" s="21"/>
      <c r="D169" s="22"/>
      <c r="E169" s="22"/>
      <c r="F169" s="23"/>
      <c r="G169" s="23"/>
      <c r="H169" s="24"/>
      <c r="I169" s="17"/>
      <c r="J169" s="17"/>
      <c r="K169" s="17"/>
      <c r="L169" s="17"/>
      <c r="M169" s="17"/>
      <c r="N169" s="17"/>
      <c r="O169" s="17"/>
      <c r="P169" s="17"/>
      <c r="Q169" s="17"/>
    </row>
    <row r="170" spans="1:17" ht="18" customHeight="1" x14ac:dyDescent="0.25">
      <c r="A170" s="17"/>
      <c r="B170" s="4"/>
      <c r="C170" s="21"/>
      <c r="D170" s="22"/>
      <c r="E170" s="22"/>
      <c r="F170" s="23"/>
      <c r="G170" s="23"/>
      <c r="H170" s="24"/>
      <c r="I170" s="17"/>
      <c r="J170" s="17"/>
      <c r="K170" s="17"/>
      <c r="L170" s="17"/>
      <c r="M170" s="17"/>
      <c r="N170" s="17"/>
      <c r="O170" s="17"/>
      <c r="P170" s="17"/>
      <c r="Q170" s="17"/>
    </row>
    <row r="171" spans="1:17" ht="18" customHeight="1" x14ac:dyDescent="0.25">
      <c r="A171" s="17"/>
      <c r="B171" s="4"/>
      <c r="C171" s="21"/>
      <c r="D171" s="22"/>
      <c r="E171" s="22"/>
      <c r="F171" s="23"/>
      <c r="G171" s="23"/>
      <c r="H171" s="24"/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1:17" ht="18" customHeight="1" x14ac:dyDescent="0.25">
      <c r="A172" s="17"/>
      <c r="B172" s="4"/>
      <c r="C172" s="21"/>
      <c r="D172" s="22"/>
      <c r="E172" s="22"/>
      <c r="F172" s="23"/>
      <c r="G172" s="23"/>
      <c r="H172" s="24"/>
      <c r="I172" s="17"/>
      <c r="J172" s="17"/>
      <c r="K172" s="17"/>
      <c r="L172" s="17"/>
      <c r="M172" s="17"/>
      <c r="N172" s="17"/>
      <c r="O172" s="17"/>
      <c r="P172" s="17"/>
      <c r="Q172" s="17"/>
    </row>
    <row r="173" spans="1:17" ht="18" customHeight="1" x14ac:dyDescent="0.25">
      <c r="A173" s="17"/>
      <c r="B173" s="4"/>
      <c r="C173" s="21"/>
      <c r="D173" s="22"/>
      <c r="E173" s="22"/>
      <c r="F173" s="23"/>
      <c r="G173" s="23"/>
      <c r="H173" s="24"/>
      <c r="I173" s="17"/>
      <c r="J173" s="17"/>
      <c r="K173" s="17"/>
      <c r="L173" s="17"/>
      <c r="M173" s="17"/>
      <c r="N173" s="17"/>
      <c r="O173" s="17"/>
      <c r="P173" s="17"/>
      <c r="Q173" s="17"/>
    </row>
    <row r="174" spans="1:17" ht="18" customHeight="1" x14ac:dyDescent="0.25">
      <c r="A174" s="17"/>
      <c r="B174" s="4"/>
      <c r="C174" s="21"/>
      <c r="D174" s="22"/>
      <c r="E174" s="22"/>
      <c r="F174" s="23"/>
      <c r="G174" s="23"/>
      <c r="H174" s="24"/>
      <c r="I174" s="17"/>
      <c r="J174" s="17"/>
      <c r="K174" s="17"/>
      <c r="L174" s="17"/>
      <c r="M174" s="17"/>
      <c r="N174" s="17"/>
      <c r="O174" s="17"/>
      <c r="P174" s="17"/>
      <c r="Q174" s="17"/>
    </row>
    <row r="175" spans="1:17" ht="18" customHeight="1" x14ac:dyDescent="0.25">
      <c r="A175" s="17"/>
      <c r="B175" s="4"/>
      <c r="C175" s="21"/>
      <c r="D175" s="22"/>
      <c r="E175" s="22"/>
      <c r="F175" s="23"/>
      <c r="G175" s="23"/>
      <c r="H175" s="24"/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1:17" ht="18" customHeight="1" x14ac:dyDescent="0.25">
      <c r="A176" s="17"/>
      <c r="B176" s="4"/>
      <c r="C176" s="21"/>
      <c r="D176" s="22"/>
      <c r="E176" s="22"/>
      <c r="F176" s="23"/>
      <c r="G176" s="23"/>
      <c r="H176" s="24"/>
      <c r="I176" s="17"/>
      <c r="J176" s="17"/>
      <c r="K176" s="17"/>
      <c r="L176" s="17"/>
      <c r="M176" s="17"/>
      <c r="N176" s="17"/>
      <c r="O176" s="17"/>
      <c r="P176" s="17"/>
      <c r="Q176" s="17"/>
    </row>
    <row r="177" spans="1:17" ht="18" customHeight="1" x14ac:dyDescent="0.25">
      <c r="A177" s="17"/>
      <c r="B177" s="4"/>
      <c r="C177" s="21"/>
      <c r="D177" s="22"/>
      <c r="E177" s="22"/>
      <c r="F177" s="23"/>
      <c r="G177" s="23"/>
      <c r="H177" s="24"/>
      <c r="I177" s="17"/>
      <c r="J177" s="17"/>
      <c r="K177" s="17"/>
      <c r="L177" s="17"/>
      <c r="M177" s="17"/>
      <c r="N177" s="17"/>
      <c r="O177" s="17"/>
      <c r="P177" s="17"/>
      <c r="Q177" s="17"/>
    </row>
    <row r="178" spans="1:17" ht="18" customHeight="1" x14ac:dyDescent="0.25">
      <c r="A178" s="17"/>
      <c r="B178" s="4"/>
      <c r="C178" s="21"/>
      <c r="D178" s="22"/>
      <c r="E178" s="22"/>
      <c r="F178" s="23"/>
      <c r="G178" s="23"/>
      <c r="H178" s="24"/>
      <c r="I178" s="17"/>
      <c r="J178" s="17"/>
      <c r="K178" s="17"/>
      <c r="L178" s="17"/>
      <c r="M178" s="17"/>
      <c r="N178" s="17"/>
      <c r="O178" s="17"/>
      <c r="P178" s="17"/>
      <c r="Q178" s="17"/>
    </row>
    <row r="179" spans="1:17" ht="18" customHeight="1" x14ac:dyDescent="0.25">
      <c r="A179" s="17"/>
      <c r="B179" s="4"/>
      <c r="C179" s="21"/>
      <c r="D179" s="22"/>
      <c r="E179" s="22"/>
      <c r="F179" s="23"/>
      <c r="G179" s="23"/>
      <c r="H179" s="24"/>
      <c r="I179" s="17"/>
      <c r="J179" s="17"/>
      <c r="K179" s="17"/>
      <c r="L179" s="17"/>
      <c r="M179" s="17"/>
      <c r="N179" s="17"/>
      <c r="O179" s="17"/>
      <c r="P179" s="17"/>
      <c r="Q179" s="17"/>
    </row>
    <row r="180" spans="1:17" ht="18" customHeight="1" x14ac:dyDescent="0.25">
      <c r="A180" s="17"/>
      <c r="B180" s="4"/>
      <c r="C180" s="21"/>
      <c r="D180" s="22"/>
      <c r="E180" s="22"/>
      <c r="F180" s="23"/>
      <c r="G180" s="23"/>
      <c r="H180" s="24"/>
      <c r="I180" s="17"/>
      <c r="J180" s="17"/>
      <c r="K180" s="17"/>
      <c r="L180" s="17"/>
      <c r="M180" s="17"/>
      <c r="N180" s="17"/>
      <c r="O180" s="17"/>
      <c r="P180" s="17"/>
      <c r="Q180" s="17"/>
    </row>
    <row r="181" spans="1:17" ht="18" customHeight="1" x14ac:dyDescent="0.25">
      <c r="A181" s="17"/>
      <c r="B181" s="4"/>
      <c r="C181" s="21"/>
      <c r="D181" s="22"/>
      <c r="E181" s="22"/>
      <c r="F181" s="23"/>
      <c r="G181" s="23"/>
      <c r="H181" s="24"/>
      <c r="I181" s="17"/>
      <c r="J181" s="17"/>
      <c r="K181" s="17"/>
      <c r="L181" s="17"/>
      <c r="M181" s="17"/>
      <c r="N181" s="17"/>
      <c r="O181" s="17"/>
      <c r="P181" s="17"/>
      <c r="Q181" s="17"/>
    </row>
    <row r="182" spans="1:17" ht="18" customHeight="1" x14ac:dyDescent="0.25">
      <c r="A182" s="17"/>
      <c r="B182" s="4"/>
      <c r="C182" s="21"/>
      <c r="D182" s="22"/>
      <c r="E182" s="22"/>
      <c r="F182" s="23"/>
      <c r="G182" s="23"/>
      <c r="H182" s="24"/>
      <c r="I182" s="17"/>
      <c r="J182" s="17"/>
      <c r="K182" s="17"/>
      <c r="L182" s="17"/>
      <c r="M182" s="17"/>
      <c r="N182" s="17"/>
      <c r="O182" s="17"/>
      <c r="P182" s="17"/>
      <c r="Q182" s="17"/>
    </row>
    <row r="183" spans="1:17" ht="18" customHeight="1" x14ac:dyDescent="0.25">
      <c r="A183" s="17"/>
      <c r="B183" s="4"/>
      <c r="C183" s="21"/>
      <c r="D183" s="22"/>
      <c r="E183" s="22"/>
      <c r="F183" s="23"/>
      <c r="G183" s="23"/>
      <c r="H183" s="24"/>
      <c r="I183" s="17"/>
      <c r="J183" s="17"/>
      <c r="K183" s="17"/>
      <c r="L183" s="17"/>
      <c r="M183" s="17"/>
      <c r="N183" s="17"/>
      <c r="O183" s="17"/>
      <c r="P183" s="17"/>
      <c r="Q183" s="17"/>
    </row>
    <row r="184" spans="1:17" ht="18" customHeight="1" x14ac:dyDescent="0.25">
      <c r="A184" s="17"/>
      <c r="B184" s="4"/>
      <c r="C184" s="21"/>
      <c r="D184" s="22"/>
      <c r="E184" s="22"/>
      <c r="F184" s="23"/>
      <c r="G184" s="23"/>
      <c r="H184" s="24"/>
      <c r="I184" s="17"/>
      <c r="J184" s="17"/>
      <c r="K184" s="17"/>
      <c r="L184" s="17"/>
      <c r="M184" s="17"/>
      <c r="N184" s="17"/>
      <c r="O184" s="17"/>
      <c r="P184" s="17"/>
      <c r="Q184" s="17"/>
    </row>
    <row r="185" spans="1:17" ht="18" customHeight="1" x14ac:dyDescent="0.25">
      <c r="A185" s="17"/>
      <c r="B185" s="4"/>
      <c r="C185" s="21"/>
      <c r="D185" s="22"/>
      <c r="E185" s="22"/>
      <c r="F185" s="23"/>
      <c r="G185" s="23"/>
      <c r="H185" s="24"/>
      <c r="I185" s="17"/>
      <c r="J185" s="17"/>
      <c r="K185" s="17"/>
      <c r="L185" s="17"/>
      <c r="M185" s="17"/>
      <c r="N185" s="17"/>
      <c r="O185" s="17"/>
      <c r="P185" s="17"/>
      <c r="Q185" s="17"/>
    </row>
    <row r="186" spans="1:17" ht="18" customHeight="1" x14ac:dyDescent="0.25">
      <c r="A186" s="17"/>
      <c r="B186" s="4"/>
      <c r="C186" s="21"/>
      <c r="D186" s="22"/>
      <c r="E186" s="22"/>
      <c r="F186" s="23"/>
      <c r="G186" s="23"/>
      <c r="H186" s="24"/>
      <c r="I186" s="17"/>
      <c r="J186" s="17"/>
      <c r="K186" s="17"/>
      <c r="L186" s="17"/>
      <c r="M186" s="17"/>
      <c r="N186" s="17"/>
      <c r="O186" s="17"/>
      <c r="P186" s="17"/>
      <c r="Q186" s="17"/>
    </row>
    <row r="187" spans="1:17" ht="18" customHeight="1" x14ac:dyDescent="0.25">
      <c r="A187" s="17"/>
      <c r="B187" s="4"/>
      <c r="C187" s="21"/>
      <c r="D187" s="22"/>
      <c r="E187" s="22"/>
      <c r="F187" s="23"/>
      <c r="G187" s="23"/>
      <c r="H187" s="24"/>
      <c r="I187" s="17"/>
      <c r="J187" s="17"/>
      <c r="K187" s="17"/>
      <c r="L187" s="17"/>
      <c r="M187" s="17"/>
      <c r="N187" s="17"/>
      <c r="O187" s="17"/>
      <c r="P187" s="17"/>
      <c r="Q187" s="17"/>
    </row>
    <row r="188" spans="1:17" ht="18" customHeight="1" x14ac:dyDescent="0.25">
      <c r="A188" s="17"/>
      <c r="B188" s="4"/>
      <c r="C188" s="21"/>
      <c r="D188" s="22"/>
      <c r="E188" s="22"/>
      <c r="F188" s="23"/>
      <c r="G188" s="23"/>
      <c r="H188" s="24"/>
      <c r="I188" s="17"/>
      <c r="J188" s="17"/>
      <c r="K188" s="17"/>
      <c r="L188" s="17"/>
      <c r="M188" s="17"/>
      <c r="N188" s="17"/>
      <c r="O188" s="17"/>
      <c r="P188" s="17"/>
      <c r="Q188" s="17"/>
    </row>
    <row r="189" spans="1:17" ht="18" customHeight="1" x14ac:dyDescent="0.25">
      <c r="A189" s="17"/>
      <c r="B189" s="4"/>
      <c r="C189" s="21"/>
      <c r="D189" s="22"/>
      <c r="E189" s="22"/>
      <c r="F189" s="23"/>
      <c r="G189" s="23"/>
      <c r="H189" s="24"/>
      <c r="I189" s="17"/>
      <c r="J189" s="17"/>
      <c r="K189" s="17"/>
      <c r="L189" s="17"/>
      <c r="M189" s="17"/>
      <c r="N189" s="17"/>
      <c r="O189" s="17"/>
      <c r="P189" s="17"/>
      <c r="Q189" s="17"/>
    </row>
    <row r="190" spans="1:17" ht="18" customHeight="1" x14ac:dyDescent="0.25">
      <c r="A190" s="17"/>
      <c r="B190" s="4"/>
      <c r="C190" s="21"/>
      <c r="D190" s="22"/>
      <c r="E190" s="22"/>
      <c r="F190" s="23"/>
      <c r="G190" s="23"/>
      <c r="H190" s="24"/>
      <c r="I190" s="17"/>
      <c r="J190" s="17"/>
      <c r="K190" s="17"/>
      <c r="L190" s="17"/>
      <c r="M190" s="17"/>
      <c r="N190" s="17"/>
      <c r="O190" s="17"/>
      <c r="P190" s="17"/>
      <c r="Q190" s="17"/>
    </row>
    <row r="191" spans="1:17" ht="18" customHeight="1" x14ac:dyDescent="0.25">
      <c r="A191" s="17"/>
      <c r="B191" s="4"/>
      <c r="C191" s="21"/>
      <c r="D191" s="22"/>
      <c r="E191" s="22"/>
      <c r="F191" s="23"/>
      <c r="G191" s="23"/>
      <c r="H191" s="24"/>
      <c r="I191" s="17"/>
      <c r="J191" s="17"/>
      <c r="K191" s="17"/>
      <c r="L191" s="17"/>
      <c r="M191" s="17"/>
      <c r="N191" s="17"/>
      <c r="O191" s="17"/>
      <c r="P191" s="17"/>
      <c r="Q191" s="17"/>
    </row>
    <row r="192" spans="1:17" ht="18" customHeight="1" x14ac:dyDescent="0.25">
      <c r="A192" s="17"/>
      <c r="B192" s="4"/>
      <c r="C192" s="21"/>
      <c r="D192" s="22"/>
      <c r="E192" s="22"/>
      <c r="F192" s="23"/>
      <c r="G192" s="23"/>
      <c r="H192" s="24"/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1:17" ht="18" customHeight="1" x14ac:dyDescent="0.25">
      <c r="A193" s="17"/>
      <c r="B193" s="4"/>
      <c r="C193" s="21"/>
      <c r="D193" s="22"/>
      <c r="E193" s="22"/>
      <c r="F193" s="23"/>
      <c r="G193" s="23"/>
      <c r="H193" s="24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ht="18" customHeight="1" x14ac:dyDescent="0.25">
      <c r="A194" s="17"/>
      <c r="B194" s="4"/>
      <c r="C194" s="21"/>
      <c r="D194" s="22"/>
      <c r="E194" s="22"/>
      <c r="F194" s="23"/>
      <c r="G194" s="23"/>
      <c r="H194" s="24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ht="18" customHeight="1" x14ac:dyDescent="0.25">
      <c r="A195" s="17"/>
      <c r="B195" s="4"/>
      <c r="C195" s="21"/>
      <c r="D195" s="22"/>
      <c r="E195" s="22"/>
      <c r="F195" s="23"/>
      <c r="G195" s="23"/>
      <c r="H195" s="24"/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1:17" ht="18" customHeight="1" x14ac:dyDescent="0.25">
      <c r="A196" s="17"/>
      <c r="B196" s="4"/>
      <c r="C196" s="21"/>
      <c r="D196" s="22"/>
      <c r="E196" s="22"/>
      <c r="F196" s="23"/>
      <c r="G196" s="23"/>
      <c r="H196" s="24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17" ht="18" customHeight="1" x14ac:dyDescent="0.25">
      <c r="A197" s="17"/>
      <c r="B197" s="4"/>
      <c r="C197" s="21"/>
      <c r="D197" s="22"/>
      <c r="E197" s="22"/>
      <c r="F197" s="23"/>
      <c r="G197" s="23"/>
      <c r="H197" s="24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17" ht="18" customHeight="1" x14ac:dyDescent="0.25">
      <c r="A198" s="17"/>
      <c r="B198" s="4"/>
      <c r="C198" s="21"/>
      <c r="D198" s="22"/>
      <c r="E198" s="22"/>
      <c r="F198" s="23"/>
      <c r="G198" s="23"/>
      <c r="H198" s="24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17" ht="18" customHeight="1" x14ac:dyDescent="0.25">
      <c r="A199" s="17"/>
      <c r="B199" s="4"/>
      <c r="C199" s="21"/>
      <c r="D199" s="22"/>
      <c r="E199" s="22"/>
      <c r="F199" s="23"/>
      <c r="G199" s="23"/>
      <c r="H199" s="24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ht="18" customHeight="1" x14ac:dyDescent="0.25">
      <c r="A200" s="17"/>
      <c r="B200" s="4"/>
      <c r="C200" s="21"/>
      <c r="D200" s="22"/>
      <c r="E200" s="22"/>
      <c r="F200" s="23"/>
      <c r="G200" s="23"/>
      <c r="H200" s="24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17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1:17" x14ac:dyDescent="0.25">
      <c r="A202" s="16"/>
      <c r="B202" s="25" t="s">
        <v>55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</sheetData>
  <dataValidations count="3">
    <dataValidation type="list" allowBlank="1" showInputMessage="1" showErrorMessage="1" errorTitle="Tipo inválido" error="Selecciona Ingreso o Egreso." sqref="C7:C200" xr:uid="{02101E45-4509-4021-9F14-809167029721}">
      <formula1>ListaTipo</formula1>
    </dataValidation>
    <dataValidation type="list" allowBlank="1" showInputMessage="1" showErrorMessage="1" errorTitle="Categoría inválida" error="Selecciona una categoría de la lista." sqref="D7:D200" xr:uid="{76B798EC-8F0B-46B8-8BB7-5CE7A698DBBD}">
      <formula1>ListaCategorias</formula1>
    </dataValidation>
    <dataValidation type="custom" errorStyle="warning" allowBlank="1" showInputMessage="1" showErrorMessage="1" errorTitle="Fecha fuera de rango" error="La fecha no corresponde al mes/año configurado." sqref="B7:B200" xr:uid="{BBA8297A-76B0-4187-8CDA-0C41B159F8F9}">
      <formula1>AND(MONTH(B7)=Mes,YEAR(B7)=Anio)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F782-A018-4C66-9B20-685692F297DA}">
  <dimension ref="A1:N100"/>
  <sheetViews>
    <sheetView showGridLines="0" showRowColHeaders="0" tabSelected="1" topLeftCell="A9" workbookViewId="0">
      <selection activeCell="H8" sqref="H8"/>
    </sheetView>
  </sheetViews>
  <sheetFormatPr baseColWidth="10" defaultRowHeight="15" x14ac:dyDescent="0.25"/>
  <cols>
    <col min="1" max="1" width="3.42578125" customWidth="1"/>
    <col min="2" max="3" width="1.140625" customWidth="1"/>
    <col min="4" max="4" width="38.140625" customWidth="1"/>
    <col min="5" max="5" width="24.7109375" customWidth="1"/>
    <col min="6" max="6" width="38.140625" customWidth="1"/>
    <col min="7" max="7" width="1.140625" customWidth="1"/>
    <col min="8" max="8" width="43.85546875" customWidth="1"/>
    <col min="9" max="9" width="1.140625" customWidth="1"/>
    <col min="10" max="10" width="24.7109375" customWidth="1"/>
  </cols>
  <sheetData>
    <row r="1" spans="1:14" ht="32.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2.1" customHeight="1" x14ac:dyDescent="0.25">
      <c r="A2" s="7"/>
      <c r="B2" s="7"/>
      <c r="C2" s="7"/>
      <c r="D2" s="7"/>
      <c r="E2" s="8"/>
      <c r="F2" s="7"/>
      <c r="G2" s="8" t="s">
        <v>48</v>
      </c>
      <c r="H2" s="7"/>
      <c r="I2" s="7"/>
      <c r="J2" s="7"/>
      <c r="K2" s="7"/>
      <c r="L2" s="9" t="s">
        <v>45</v>
      </c>
      <c r="M2" s="7"/>
      <c r="N2" s="7"/>
    </row>
    <row r="3" spans="1:14" ht="21.95" customHeight="1" x14ac:dyDescent="0.25">
      <c r="A3" s="10"/>
      <c r="B3" s="10"/>
      <c r="C3" s="10"/>
      <c r="D3" s="10"/>
      <c r="E3" s="11"/>
      <c r="F3" s="10"/>
      <c r="G3" s="11" t="s">
        <v>49</v>
      </c>
      <c r="H3" s="10"/>
      <c r="I3" s="10"/>
      <c r="J3" s="10"/>
      <c r="K3" s="10"/>
      <c r="L3" s="12" t="s">
        <v>42</v>
      </c>
      <c r="M3" s="10"/>
      <c r="N3" s="10"/>
    </row>
    <row r="4" spans="1:14" ht="3.9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6.1" customHeight="1" x14ac:dyDescent="0.25">
      <c r="A5" s="17"/>
      <c r="B5" s="17"/>
      <c r="C5" s="17"/>
      <c r="D5" s="26" t="s">
        <v>0</v>
      </c>
      <c r="E5" s="26" t="s">
        <v>1</v>
      </c>
      <c r="F5" s="17"/>
      <c r="G5" s="17"/>
      <c r="H5" s="17"/>
      <c r="I5" s="17"/>
      <c r="J5" s="17"/>
      <c r="K5" s="17"/>
      <c r="L5" s="17"/>
      <c r="M5" s="17"/>
      <c r="N5" s="17"/>
    </row>
    <row r="6" spans="1:14" ht="24" customHeight="1" x14ac:dyDescent="0.25">
      <c r="A6" s="17"/>
      <c r="B6" s="17"/>
      <c r="C6" s="17"/>
      <c r="D6" s="27" t="s">
        <v>2</v>
      </c>
      <c r="E6" s="5">
        <f>Mes</f>
        <v>11</v>
      </c>
      <c r="F6" s="17"/>
      <c r="G6" s="17"/>
      <c r="H6" s="17"/>
      <c r="I6" s="17"/>
      <c r="J6" s="17"/>
      <c r="K6" s="17"/>
      <c r="L6" s="17"/>
      <c r="M6" s="17"/>
      <c r="N6" s="17"/>
    </row>
    <row r="7" spans="1:14" ht="24" customHeight="1" x14ac:dyDescent="0.25">
      <c r="A7" s="17"/>
      <c r="B7" s="17"/>
      <c r="C7" s="17"/>
      <c r="D7" s="28" t="s">
        <v>3</v>
      </c>
      <c r="E7" s="6">
        <f>Anio</f>
        <v>2026</v>
      </c>
      <c r="F7" s="17"/>
      <c r="G7" s="17"/>
      <c r="H7" s="17"/>
      <c r="I7" s="17"/>
      <c r="J7" s="17"/>
      <c r="K7" s="17"/>
      <c r="L7" s="17"/>
      <c r="M7" s="17"/>
      <c r="N7" s="17"/>
    </row>
    <row r="8" spans="1:14" ht="24" customHeight="1" x14ac:dyDescent="0.25">
      <c r="A8" s="17"/>
      <c r="B8" s="17"/>
      <c r="C8" s="17"/>
      <c r="D8" s="29" t="s">
        <v>4</v>
      </c>
      <c r="E8" s="30">
        <v>1000</v>
      </c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26.1" customHeight="1" x14ac:dyDescent="0.25">
      <c r="A11" s="17"/>
      <c r="B11" s="17"/>
      <c r="C11" s="17"/>
      <c r="D11" s="31" t="s">
        <v>5</v>
      </c>
      <c r="E11" s="17"/>
      <c r="F11" s="32" t="s">
        <v>12</v>
      </c>
      <c r="G11" s="17"/>
      <c r="H11" s="33" t="s">
        <v>25</v>
      </c>
      <c r="I11" s="17"/>
      <c r="J11" s="34" t="s">
        <v>26</v>
      </c>
      <c r="K11" s="17"/>
      <c r="L11" s="17"/>
      <c r="M11" s="17"/>
      <c r="N11" s="17"/>
    </row>
    <row r="12" spans="1:14" ht="21.95" customHeight="1" x14ac:dyDescent="0.25">
      <c r="A12" s="17"/>
      <c r="B12" s="17"/>
      <c r="C12" s="17"/>
      <c r="D12" s="35" t="s">
        <v>6</v>
      </c>
      <c r="E12" s="17"/>
      <c r="F12" s="36" t="s">
        <v>13</v>
      </c>
      <c r="G12" s="17"/>
      <c r="H12" s="37" t="s">
        <v>6</v>
      </c>
      <c r="I12" s="17"/>
      <c r="J12" s="38" t="s">
        <v>27</v>
      </c>
      <c r="K12" s="17"/>
      <c r="L12" s="17"/>
      <c r="M12" s="17"/>
      <c r="N12" s="17"/>
    </row>
    <row r="13" spans="1:14" ht="21.95" customHeight="1" thickBot="1" x14ac:dyDescent="0.3">
      <c r="A13" s="17"/>
      <c r="B13" s="17"/>
      <c r="C13" s="17"/>
      <c r="D13" s="39" t="s">
        <v>7</v>
      </c>
      <c r="E13" s="17"/>
      <c r="F13" s="39" t="s">
        <v>14</v>
      </c>
      <c r="G13" s="17"/>
      <c r="H13" s="37" t="s">
        <v>7</v>
      </c>
      <c r="I13" s="17"/>
      <c r="J13" s="40" t="s">
        <v>28</v>
      </c>
      <c r="K13" s="17"/>
      <c r="L13" s="17"/>
      <c r="M13" s="17"/>
      <c r="N13" s="17"/>
    </row>
    <row r="14" spans="1:14" ht="21.95" customHeight="1" x14ac:dyDescent="0.25">
      <c r="A14" s="17"/>
      <c r="B14" s="17"/>
      <c r="C14" s="17"/>
      <c r="D14" s="35" t="s">
        <v>8</v>
      </c>
      <c r="E14" s="17"/>
      <c r="F14" s="36" t="s">
        <v>15</v>
      </c>
      <c r="G14" s="17"/>
      <c r="H14" s="37" t="s">
        <v>8</v>
      </c>
      <c r="I14" s="17"/>
      <c r="J14" s="17"/>
      <c r="K14" s="17"/>
      <c r="L14" s="17"/>
      <c r="M14" s="17"/>
      <c r="N14" s="17"/>
    </row>
    <row r="15" spans="1:14" ht="21.95" customHeight="1" x14ac:dyDescent="0.25">
      <c r="A15" s="17"/>
      <c r="B15" s="17"/>
      <c r="C15" s="17"/>
      <c r="D15" s="39" t="s">
        <v>9</v>
      </c>
      <c r="E15" s="17"/>
      <c r="F15" s="39" t="s">
        <v>16</v>
      </c>
      <c r="G15" s="17"/>
      <c r="H15" s="37" t="s">
        <v>9</v>
      </c>
      <c r="I15" s="17"/>
      <c r="J15" s="17"/>
      <c r="K15" s="17"/>
      <c r="L15" s="17"/>
      <c r="M15" s="17"/>
      <c r="N15" s="17"/>
    </row>
    <row r="16" spans="1:14" ht="21.95" customHeight="1" x14ac:dyDescent="0.25">
      <c r="A16" s="17"/>
      <c r="B16" s="17"/>
      <c r="C16" s="17"/>
      <c r="D16" s="35" t="s">
        <v>10</v>
      </c>
      <c r="E16" s="17"/>
      <c r="F16" s="36" t="s">
        <v>17</v>
      </c>
      <c r="G16" s="17"/>
      <c r="H16" s="37" t="s">
        <v>10</v>
      </c>
      <c r="I16" s="17"/>
      <c r="J16" s="17"/>
      <c r="K16" s="17"/>
      <c r="L16" s="17"/>
      <c r="M16" s="17"/>
      <c r="N16" s="17"/>
    </row>
    <row r="17" spans="1:14" ht="21.95" customHeight="1" thickBot="1" x14ac:dyDescent="0.3">
      <c r="A17" s="17"/>
      <c r="B17" s="17"/>
      <c r="C17" s="17"/>
      <c r="D17" s="41" t="s">
        <v>11</v>
      </c>
      <c r="E17" s="17"/>
      <c r="F17" s="39" t="s">
        <v>18</v>
      </c>
      <c r="G17" s="17"/>
      <c r="H17" s="37" t="s">
        <v>11</v>
      </c>
      <c r="I17" s="17"/>
      <c r="J17" s="17"/>
      <c r="K17" s="17"/>
      <c r="L17" s="17"/>
      <c r="M17" s="17"/>
      <c r="N17" s="17"/>
    </row>
    <row r="18" spans="1:14" x14ac:dyDescent="0.25">
      <c r="A18" s="17"/>
      <c r="B18" s="17"/>
      <c r="C18" s="17"/>
      <c r="D18" s="17"/>
      <c r="E18" s="17"/>
      <c r="F18" s="36" t="s">
        <v>19</v>
      </c>
      <c r="G18" s="17"/>
      <c r="H18" s="37" t="s">
        <v>13</v>
      </c>
      <c r="I18" s="17"/>
      <c r="J18" s="17"/>
      <c r="K18" s="17"/>
      <c r="L18" s="17"/>
      <c r="M18" s="17"/>
      <c r="N18" s="17"/>
    </row>
    <row r="19" spans="1:14" x14ac:dyDescent="0.25">
      <c r="A19" s="17"/>
      <c r="B19" s="17"/>
      <c r="C19" s="17"/>
      <c r="D19" s="17"/>
      <c r="E19" s="17"/>
      <c r="F19" s="39" t="s">
        <v>20</v>
      </c>
      <c r="G19" s="17"/>
      <c r="H19" s="37" t="s">
        <v>14</v>
      </c>
      <c r="I19" s="17"/>
      <c r="J19" s="17"/>
      <c r="K19" s="17"/>
      <c r="L19" s="17"/>
      <c r="M19" s="17"/>
      <c r="N19" s="17"/>
    </row>
    <row r="20" spans="1:14" x14ac:dyDescent="0.25">
      <c r="A20" s="17"/>
      <c r="B20" s="17"/>
      <c r="C20" s="17"/>
      <c r="D20" s="17"/>
      <c r="E20" s="17"/>
      <c r="F20" s="36" t="s">
        <v>21</v>
      </c>
      <c r="G20" s="17"/>
      <c r="H20" s="37" t="s">
        <v>15</v>
      </c>
      <c r="I20" s="17"/>
      <c r="J20" s="17"/>
      <c r="K20" s="17"/>
      <c r="L20" s="17"/>
      <c r="M20" s="17"/>
      <c r="N20" s="17"/>
    </row>
    <row r="21" spans="1:14" x14ac:dyDescent="0.25">
      <c r="A21" s="17"/>
      <c r="B21" s="17"/>
      <c r="C21" s="17"/>
      <c r="D21" s="17"/>
      <c r="E21" s="17"/>
      <c r="F21" s="39" t="s">
        <v>22</v>
      </c>
      <c r="G21" s="17"/>
      <c r="H21" s="37" t="s">
        <v>16</v>
      </c>
      <c r="I21" s="17"/>
      <c r="J21" s="17"/>
      <c r="K21" s="17"/>
      <c r="L21" s="17"/>
      <c r="M21" s="17"/>
      <c r="N21" s="17"/>
    </row>
    <row r="22" spans="1:14" x14ac:dyDescent="0.25">
      <c r="A22" s="17"/>
      <c r="B22" s="17"/>
      <c r="C22" s="17"/>
      <c r="D22" s="17"/>
      <c r="E22" s="17"/>
      <c r="F22" s="36" t="s">
        <v>23</v>
      </c>
      <c r="G22" s="17"/>
      <c r="H22" s="37" t="s">
        <v>17</v>
      </c>
      <c r="I22" s="17"/>
      <c r="J22" s="17"/>
      <c r="K22" s="17"/>
      <c r="L22" s="17"/>
      <c r="M22" s="17"/>
      <c r="N22" s="17"/>
    </row>
    <row r="23" spans="1:14" ht="15.75" thickBot="1" x14ac:dyDescent="0.3">
      <c r="A23" s="17"/>
      <c r="B23" s="17"/>
      <c r="C23" s="17"/>
      <c r="D23" s="17"/>
      <c r="E23" s="17"/>
      <c r="F23" s="42" t="s">
        <v>24</v>
      </c>
      <c r="G23" s="17"/>
      <c r="H23" s="37" t="s">
        <v>18</v>
      </c>
      <c r="I23" s="17"/>
      <c r="J23" s="17"/>
      <c r="K23" s="17"/>
      <c r="L23" s="17"/>
      <c r="M23" s="17"/>
      <c r="N23" s="17"/>
    </row>
    <row r="24" spans="1:14" x14ac:dyDescent="0.25">
      <c r="A24" s="17"/>
      <c r="B24" s="17"/>
      <c r="C24" s="17"/>
      <c r="D24" s="17"/>
      <c r="E24" s="17"/>
      <c r="F24" s="17"/>
      <c r="G24" s="17"/>
      <c r="H24" s="37" t="s">
        <v>19</v>
      </c>
      <c r="I24" s="17"/>
      <c r="J24" s="17"/>
      <c r="K24" s="17"/>
      <c r="L24" s="17"/>
      <c r="M24" s="17"/>
      <c r="N24" s="17"/>
    </row>
    <row r="25" spans="1:14" x14ac:dyDescent="0.25">
      <c r="A25" s="17"/>
      <c r="B25" s="17"/>
      <c r="C25" s="17"/>
      <c r="D25" s="17"/>
      <c r="E25" s="17"/>
      <c r="F25" s="17"/>
      <c r="G25" s="17"/>
      <c r="H25" s="37" t="s">
        <v>20</v>
      </c>
      <c r="I25" s="17"/>
      <c r="J25" s="17"/>
      <c r="K25" s="17"/>
      <c r="L25" s="17"/>
      <c r="M25" s="17"/>
      <c r="N25" s="17"/>
    </row>
    <row r="26" spans="1:14" x14ac:dyDescent="0.25">
      <c r="A26" s="17"/>
      <c r="B26" s="17"/>
      <c r="C26" s="17"/>
      <c r="D26" s="17"/>
      <c r="E26" s="17"/>
      <c r="F26" s="17"/>
      <c r="G26" s="17"/>
      <c r="H26" s="37" t="s">
        <v>21</v>
      </c>
      <c r="I26" s="17"/>
      <c r="J26" s="17"/>
      <c r="K26" s="17"/>
      <c r="L26" s="17"/>
      <c r="M26" s="17"/>
      <c r="N26" s="17"/>
    </row>
    <row r="27" spans="1:14" x14ac:dyDescent="0.25">
      <c r="A27" s="17"/>
      <c r="B27" s="17"/>
      <c r="C27" s="17"/>
      <c r="D27" s="17"/>
      <c r="E27" s="17"/>
      <c r="F27" s="17"/>
      <c r="G27" s="17"/>
      <c r="H27" s="37" t="s">
        <v>22</v>
      </c>
      <c r="I27" s="17"/>
      <c r="J27" s="17"/>
      <c r="K27" s="17"/>
      <c r="L27" s="17"/>
      <c r="M27" s="17"/>
      <c r="N27" s="17"/>
    </row>
    <row r="28" spans="1:14" x14ac:dyDescent="0.25">
      <c r="A28" s="17"/>
      <c r="B28" s="17"/>
      <c r="C28" s="17"/>
      <c r="D28" s="17"/>
      <c r="E28" s="17"/>
      <c r="F28" s="17"/>
      <c r="G28" s="17"/>
      <c r="H28" s="37" t="s">
        <v>23</v>
      </c>
      <c r="I28" s="17"/>
      <c r="J28" s="17"/>
      <c r="K28" s="17"/>
      <c r="L28" s="17"/>
      <c r="M28" s="17"/>
      <c r="N28" s="17"/>
    </row>
    <row r="29" spans="1:14" x14ac:dyDescent="0.25">
      <c r="A29" s="17"/>
      <c r="B29" s="17"/>
      <c r="C29" s="17"/>
      <c r="D29" s="17"/>
      <c r="E29" s="17"/>
      <c r="F29" s="17"/>
      <c r="G29" s="17"/>
      <c r="H29" s="37" t="s">
        <v>24</v>
      </c>
      <c r="I29" s="17"/>
      <c r="J29" s="17"/>
      <c r="K29" s="17"/>
      <c r="L29" s="17"/>
      <c r="M29" s="17"/>
      <c r="N29" s="17"/>
    </row>
    <row r="30" spans="1:14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x14ac:dyDescent="0.25">
      <c r="A31" s="17"/>
      <c r="B31" s="17"/>
      <c r="C31" s="17"/>
      <c r="D31" s="43" t="s">
        <v>56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Dashboard</vt:lpstr>
      <vt:lpstr>Tablas</vt:lpstr>
      <vt:lpstr>Movimientos</vt:lpstr>
      <vt:lpstr>Configuración</vt:lpstr>
      <vt:lpstr>Anio</vt:lpstr>
      <vt:lpstr>ListaCategorias</vt:lpstr>
      <vt:lpstr>ListaEgresos</vt:lpstr>
      <vt:lpstr>ListaIngresos</vt:lpstr>
      <vt:lpstr>ListaTipo</vt:lpstr>
      <vt:lpstr>Mes</vt:lpstr>
      <vt:lpstr>SaldoInicial</vt:lpstr>
    </vt:vector>
  </TitlesOfParts>
  <Company>Data 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Edge</dc:creator>
  <cp:lastModifiedBy>Data Edge</cp:lastModifiedBy>
  <dcterms:created xsi:type="dcterms:W3CDTF">2026-05-08T20:19:19Z</dcterms:created>
  <dcterms:modified xsi:type="dcterms:W3CDTF">2026-05-08T21:00:57Z</dcterms:modified>
</cp:coreProperties>
</file>